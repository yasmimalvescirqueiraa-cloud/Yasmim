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Yasmim\"/>
    </mc:Choice>
  </mc:AlternateContent>
  <xr:revisionPtr revIDLastSave="0" documentId="8_{A581D18F-F6BF-4371-82FD-543933435811}" xr6:coauthVersionLast="47" xr6:coauthVersionMax="47" xr10:uidLastSave="{00000000-0000-0000-0000-000000000000}"/>
  <bookViews>
    <workbookView xWindow="14295" yWindow="0" windowWidth="14610" windowHeight="15585" xr2:uid="{8A70A4C0-E070-43E2-A795-E8B6729CA13D}"/>
  </bookViews>
  <sheets>
    <sheet name="Planilha1" sheetId="1" r:id="rId1"/>
    <sheet name="FERI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6" i="1"/>
  <c r="F7" i="1"/>
  <c r="F8" i="1"/>
  <c r="F9" i="1"/>
  <c r="F10" i="1"/>
  <c r="F11" i="1"/>
  <c r="F12" i="1"/>
  <c r="F13" i="1"/>
  <c r="F14" i="1"/>
  <c r="F15" i="1"/>
  <c r="F16" i="1"/>
  <c r="F6" i="1"/>
</calcChain>
</file>

<file path=xl/sharedStrings.xml><?xml version="1.0" encoding="utf-8"?>
<sst xmlns="http://schemas.openxmlformats.org/spreadsheetml/2006/main" count="32" uniqueCount="15">
  <si>
    <t>ZAP S/A - CONTROLE DE PAGAMENTOS ÁS EMPRESAS TERCEIRIZADAS</t>
  </si>
  <si>
    <t>VALOR/ HORA:</t>
  </si>
  <si>
    <t>EMPRESA</t>
  </si>
  <si>
    <t>ÁREA</t>
  </si>
  <si>
    <t>DATA INÍCIO CONTRATO</t>
  </si>
  <si>
    <t>DATA TÉRMINO CONTRATO</t>
  </si>
  <si>
    <t>DIAS ÚTEIS</t>
  </si>
  <si>
    <t>VALOR DO CONTRATO</t>
  </si>
  <si>
    <t>ADM MÃO DE OBRA</t>
  </si>
  <si>
    <t>CONTÁBIL TOTAL</t>
  </si>
  <si>
    <t>LUCAS BROS</t>
  </si>
  <si>
    <t>ADMINISTRATIVA</t>
  </si>
  <si>
    <t>CONTABILIDADE</t>
  </si>
  <si>
    <t>CARGA HORÁRIA DIÁRIA</t>
  </si>
  <si>
    <t>PERÍODO: 01/01/2013 A 31/07/2013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</si>
</sst>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4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1" xfId="0" applyNumberFormat="1" applyBorder="1"/>
    <xf numFmtId="4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864C-53A1-4DCA-B6C1-721B1414ED9B}">
  <dimension ref="A1:G16"/>
  <sheetViews>
    <sheetView tabSelected="1" workbookViewId="0">
      <selection activeCell="D6" sqref="D6"/>
    </sheetView>
  </sheetViews>
  <sheetFormatPr defaultRowHeight="15" x14ac:dyDescent="0.25"/>
  <cols>
    <col min="1" max="2" width="17.85546875" customWidth="1"/>
    <col min="3" max="3" width="13.7109375" style="2" customWidth="1"/>
    <col min="4" max="4" width="15.7109375" style="2" customWidth="1"/>
    <col min="5" max="5" width="12.28515625" customWidth="1"/>
    <col min="6" max="6" width="13.42578125" customWidth="1"/>
    <col min="7" max="7" width="13" customWidth="1"/>
  </cols>
  <sheetData>
    <row r="1" spans="1:7" x14ac:dyDescent="0.25">
      <c r="A1" s="4" t="s">
        <v>0</v>
      </c>
      <c r="B1" s="4"/>
      <c r="C1" s="4"/>
      <c r="D1" s="4"/>
      <c r="E1" s="4"/>
      <c r="F1" s="4"/>
      <c r="G1" s="4"/>
    </row>
    <row r="2" spans="1:7" x14ac:dyDescent="0.25">
      <c r="A2" s="5" t="s">
        <v>14</v>
      </c>
      <c r="B2" s="5"/>
      <c r="C2" s="5"/>
      <c r="D2" s="5"/>
      <c r="E2" s="5"/>
      <c r="F2" s="5"/>
      <c r="G2" s="5"/>
    </row>
    <row r="3" spans="1:7" x14ac:dyDescent="0.25">
      <c r="A3" t="s">
        <v>1</v>
      </c>
      <c r="B3" s="1">
        <v>55</v>
      </c>
    </row>
    <row r="5" spans="1:7" ht="43.5" customHeight="1" x14ac:dyDescent="0.25">
      <c r="A5" s="8" t="s">
        <v>2</v>
      </c>
      <c r="B5" s="8" t="s">
        <v>3</v>
      </c>
      <c r="C5" s="9" t="s">
        <v>4</v>
      </c>
      <c r="D5" s="9" t="s">
        <v>5</v>
      </c>
      <c r="E5" s="9" t="s">
        <v>13</v>
      </c>
      <c r="F5" s="9" t="s">
        <v>6</v>
      </c>
      <c r="G5" s="9" t="s">
        <v>7</v>
      </c>
    </row>
    <row r="6" spans="1:7" x14ac:dyDescent="0.25">
      <c r="A6" s="3" t="s">
        <v>8</v>
      </c>
      <c r="B6" s="3" t="s">
        <v>11</v>
      </c>
      <c r="C6" s="10">
        <v>41275</v>
      </c>
      <c r="D6" s="10">
        <v>41332</v>
      </c>
      <c r="E6" s="3">
        <v>6</v>
      </c>
      <c r="F6" s="11">
        <f>NETWORKDAYS.INTL(C6,D6,11,FERIADOS!A1:A8)</f>
        <v>47</v>
      </c>
      <c r="G6" s="12">
        <f>E6*F6*B$3</f>
        <v>15510</v>
      </c>
    </row>
    <row r="7" spans="1:7" x14ac:dyDescent="0.25">
      <c r="A7" s="3" t="s">
        <v>9</v>
      </c>
      <c r="B7" s="3" t="s">
        <v>12</v>
      </c>
      <c r="C7" s="6">
        <v>41284</v>
      </c>
      <c r="D7" s="6">
        <v>41318</v>
      </c>
      <c r="E7" s="3">
        <v>6</v>
      </c>
      <c r="F7" s="11">
        <f>NETWORKDAYS.INTL(C7,D7,11,FERIADOS!A2:A9)</f>
        <v>28</v>
      </c>
      <c r="G7" s="12">
        <f t="shared" ref="G7:G16" si="0">E7*F7*B$3</f>
        <v>9240</v>
      </c>
    </row>
    <row r="8" spans="1:7" x14ac:dyDescent="0.25">
      <c r="A8" s="3" t="s">
        <v>10</v>
      </c>
      <c r="B8" s="3" t="s">
        <v>11</v>
      </c>
      <c r="C8" s="6">
        <v>41336</v>
      </c>
      <c r="D8" s="6">
        <v>41374</v>
      </c>
      <c r="E8" s="3">
        <v>8</v>
      </c>
      <c r="F8" s="11">
        <f>NETWORKDAYS.INTL(C8,D8,11,FERIADOS!A3:A10)</f>
        <v>32</v>
      </c>
      <c r="G8" s="12">
        <f t="shared" si="0"/>
        <v>14080</v>
      </c>
    </row>
    <row r="9" spans="1:7" x14ac:dyDescent="0.25">
      <c r="A9" s="3" t="s">
        <v>9</v>
      </c>
      <c r="B9" s="3" t="s">
        <v>12</v>
      </c>
      <c r="C9" s="6">
        <v>41353</v>
      </c>
      <c r="D9" s="6">
        <v>41379</v>
      </c>
      <c r="E9" s="3">
        <v>4</v>
      </c>
      <c r="F9" s="11">
        <f>NETWORKDAYS.INTL(C9,D9,11,FERIADOS!A4:A11)</f>
        <v>22</v>
      </c>
      <c r="G9" s="12">
        <f t="shared" si="0"/>
        <v>4840</v>
      </c>
    </row>
    <row r="10" spans="1:7" x14ac:dyDescent="0.25">
      <c r="A10" s="3" t="s">
        <v>10</v>
      </c>
      <c r="B10" s="3" t="s">
        <v>12</v>
      </c>
      <c r="C10" s="6">
        <v>41396</v>
      </c>
      <c r="D10" s="6">
        <v>41424</v>
      </c>
      <c r="E10" s="3">
        <v>4</v>
      </c>
      <c r="F10" s="11">
        <f>NETWORKDAYS.INTL(C10,D10,11,FERIADOS!A5:A12)</f>
        <v>24</v>
      </c>
      <c r="G10" s="12">
        <f t="shared" si="0"/>
        <v>5280</v>
      </c>
    </row>
    <row r="11" spans="1:7" x14ac:dyDescent="0.25">
      <c r="A11" s="3" t="s">
        <v>8</v>
      </c>
      <c r="B11" s="3" t="s">
        <v>11</v>
      </c>
      <c r="C11" s="6">
        <v>41405</v>
      </c>
      <c r="D11" s="6">
        <v>41412</v>
      </c>
      <c r="E11" s="3">
        <v>6</v>
      </c>
      <c r="F11" s="11">
        <f>NETWORKDAYS.INTL(C11,D11,11,FERIADOS!A6:A13)</f>
        <v>7</v>
      </c>
      <c r="G11" s="12">
        <f t="shared" si="0"/>
        <v>2310</v>
      </c>
    </row>
    <row r="12" spans="1:7" x14ac:dyDescent="0.25">
      <c r="A12" s="3" t="s">
        <v>8</v>
      </c>
      <c r="B12" s="3" t="s">
        <v>11</v>
      </c>
      <c r="C12" s="6">
        <v>41426</v>
      </c>
      <c r="D12" s="6">
        <v>41445</v>
      </c>
      <c r="E12" s="3">
        <v>8</v>
      </c>
      <c r="F12" s="11">
        <f>NETWORKDAYS.INTL(C12,D12,11,FERIADOS!A7:A14)</f>
        <v>17</v>
      </c>
      <c r="G12" s="12">
        <f t="shared" si="0"/>
        <v>7480</v>
      </c>
    </row>
    <row r="13" spans="1:7" x14ac:dyDescent="0.25">
      <c r="A13" s="3" t="s">
        <v>10</v>
      </c>
      <c r="B13" s="3" t="s">
        <v>11</v>
      </c>
      <c r="C13" s="7">
        <v>41435</v>
      </c>
      <c r="D13" s="6">
        <v>41460</v>
      </c>
      <c r="E13" s="3">
        <v>6</v>
      </c>
      <c r="F13" s="11">
        <f>NETWORKDAYS.INTL(C13,D13,11,FERIADOS!A8:A15)</f>
        <v>23</v>
      </c>
      <c r="G13" s="12">
        <f t="shared" si="0"/>
        <v>7590</v>
      </c>
    </row>
    <row r="14" spans="1:7" x14ac:dyDescent="0.25">
      <c r="A14" s="3" t="s">
        <v>9</v>
      </c>
      <c r="B14" s="3" t="s">
        <v>12</v>
      </c>
      <c r="C14" s="6">
        <v>41436</v>
      </c>
      <c r="D14" s="6">
        <v>41448</v>
      </c>
      <c r="E14" s="3">
        <v>4</v>
      </c>
      <c r="F14" s="11">
        <f>NETWORKDAYS.INTL(C14,D14,11,FERIADOS!A9:A16)</f>
        <v>11</v>
      </c>
      <c r="G14" s="12">
        <f t="shared" si="0"/>
        <v>2420</v>
      </c>
    </row>
    <row r="15" spans="1:7" x14ac:dyDescent="0.25">
      <c r="A15" s="3" t="s">
        <v>10</v>
      </c>
      <c r="B15" s="3" t="s">
        <v>11</v>
      </c>
      <c r="C15" s="7">
        <v>41465</v>
      </c>
      <c r="D15" s="6">
        <v>41478</v>
      </c>
      <c r="E15" s="3">
        <v>4</v>
      </c>
      <c r="F15" s="11">
        <f>NETWORKDAYS.INTL(C15,D15,11,FERIADOS!A10:A17)</f>
        <v>12</v>
      </c>
      <c r="G15" s="12">
        <f t="shared" si="0"/>
        <v>2640</v>
      </c>
    </row>
    <row r="16" spans="1:7" x14ac:dyDescent="0.25">
      <c r="A16" s="3" t="s">
        <v>8</v>
      </c>
      <c r="B16" s="3" t="s">
        <v>11</v>
      </c>
      <c r="C16" s="6">
        <v>41470</v>
      </c>
      <c r="D16" s="6">
        <v>41486</v>
      </c>
      <c r="E16" s="3">
        <v>8</v>
      </c>
      <c r="F16" s="11">
        <f>NETWORKDAYS.INTL(C16,D16,11,FERIADOS!A11:A18)</f>
        <v>15</v>
      </c>
      <c r="G16" s="12">
        <f t="shared" si="0"/>
        <v>6600</v>
      </c>
    </row>
  </sheetData>
  <mergeCells count="2">
    <mergeCell ref="A1:G1"/>
    <mergeCell ref="A2:G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D3F2-B31C-4708-BFF3-B2A5CB3B0809}">
  <dimension ref="A1:A8"/>
  <sheetViews>
    <sheetView workbookViewId="0">
      <selection activeCell="B16" sqref="B16"/>
    </sheetView>
  </sheetViews>
  <sheetFormatPr defaultRowHeight="15" x14ac:dyDescent="0.25"/>
  <cols>
    <col min="1" max="1" width="10.7109375" bestFit="1" customWidth="1"/>
  </cols>
  <sheetData>
    <row r="1" spans="1:1" x14ac:dyDescent="0.25">
      <c r="A1" s="10">
        <v>41275</v>
      </c>
    </row>
    <row r="2" spans="1:1" x14ac:dyDescent="0.25">
      <c r="A2" s="10">
        <v>41299</v>
      </c>
    </row>
    <row r="3" spans="1:1" x14ac:dyDescent="0.25">
      <c r="A3" s="10">
        <v>41317</v>
      </c>
    </row>
    <row r="4" spans="1:1" x14ac:dyDescent="0.25">
      <c r="A4" s="10">
        <v>41362</v>
      </c>
    </row>
    <row r="5" spans="1:1" x14ac:dyDescent="0.25">
      <c r="A5" s="10">
        <v>41385</v>
      </c>
    </row>
    <row r="6" spans="1:1" x14ac:dyDescent="0.25">
      <c r="A6" s="10">
        <v>41395</v>
      </c>
    </row>
    <row r="7" spans="1:1" x14ac:dyDescent="0.25">
      <c r="A7" s="10">
        <v>41424</v>
      </c>
    </row>
    <row r="8" spans="1:1" x14ac:dyDescent="0.25">
      <c r="A8" s="10">
        <v>40733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2026-03-31T17:25:32Z</dcterms:created>
  <dcterms:modified xsi:type="dcterms:W3CDTF">2026-03-31T18:12:00Z</dcterms:modified>
</cp:coreProperties>
</file>