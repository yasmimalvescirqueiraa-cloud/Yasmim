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Yasmim\"/>
    </mc:Choice>
  </mc:AlternateContent>
  <xr:revisionPtr revIDLastSave="0" documentId="8_{E8E38ECE-CE51-49CD-87C1-EE5EB4BC4845}" xr6:coauthVersionLast="47" xr6:coauthVersionMax="47" xr10:uidLastSave="{00000000-0000-0000-0000-000000000000}"/>
  <bookViews>
    <workbookView xWindow="-105" yWindow="0" windowWidth="19410" windowHeight="15585" activeTab="3" xr2:uid="{C4C554DE-6D22-4A9E-A346-BE0C2760B0A0}"/>
  </bookViews>
  <sheets>
    <sheet name="Planilha1" sheetId="1" r:id="rId1"/>
    <sheet name="Planilha1 (2)" sheetId="2" r:id="rId2"/>
    <sheet name="planilha 3" sheetId="7" r:id="rId3"/>
    <sheet name="planilha 4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9" l="1"/>
  <c r="F12" i="9"/>
  <c r="F11" i="9"/>
  <c r="F10" i="9"/>
  <c r="F9" i="9"/>
  <c r="F8" i="9"/>
  <c r="F7" i="9"/>
  <c r="F6" i="9"/>
  <c r="F5" i="9"/>
  <c r="F4" i="9"/>
  <c r="E12" i="9"/>
  <c r="E11" i="9"/>
  <c r="E10" i="9"/>
  <c r="E9" i="9"/>
  <c r="E8" i="9"/>
  <c r="E7" i="9"/>
  <c r="E6" i="9"/>
  <c r="E5" i="9"/>
  <c r="E4" i="9"/>
  <c r="G5" i="2"/>
  <c r="B17" i="2" s="1"/>
  <c r="D5" i="9"/>
  <c r="D6" i="9"/>
  <c r="D7" i="9"/>
  <c r="D8" i="9"/>
  <c r="D9" i="9"/>
  <c r="D10" i="9"/>
  <c r="D11" i="9"/>
  <c r="D12" i="9"/>
  <c r="C5" i="9"/>
  <c r="C6" i="9"/>
  <c r="C7" i="9"/>
  <c r="C8" i="9"/>
  <c r="C9" i="9"/>
  <c r="C10" i="9"/>
  <c r="C11" i="9"/>
  <c r="C12" i="9"/>
  <c r="B5" i="9"/>
  <c r="B6" i="9"/>
  <c r="B7" i="9"/>
  <c r="B8" i="9"/>
  <c r="B9" i="9"/>
  <c r="B10" i="9"/>
  <c r="B11" i="9"/>
  <c r="B12" i="9"/>
  <c r="D4" i="9"/>
  <c r="C4" i="9"/>
  <c r="B4" i="9"/>
  <c r="G13" i="7"/>
  <c r="G12" i="7"/>
  <c r="G11" i="7"/>
  <c r="G10" i="7"/>
  <c r="G9" i="7"/>
  <c r="G8" i="7"/>
  <c r="G7" i="7"/>
  <c r="G6" i="7"/>
  <c r="G5" i="7"/>
  <c r="B15" i="7"/>
  <c r="B15" i="2"/>
  <c r="G6" i="2"/>
  <c r="G7" i="2"/>
  <c r="G8" i="2"/>
  <c r="G9" i="2"/>
  <c r="G10" i="2"/>
  <c r="G11" i="2"/>
  <c r="G12" i="2"/>
  <c r="G13" i="2"/>
  <c r="B15" i="1"/>
  <c r="G5" i="1"/>
  <c r="B16" i="1" s="1"/>
  <c r="G6" i="1"/>
  <c r="G7" i="1"/>
  <c r="G8" i="1"/>
  <c r="G9" i="1"/>
  <c r="G10" i="1"/>
  <c r="G11" i="1"/>
  <c r="G12" i="1"/>
  <c r="G13" i="1"/>
  <c r="B16" i="2" l="1"/>
  <c r="B17" i="7"/>
  <c r="B16" i="7"/>
  <c r="B17" i="1"/>
</calcChain>
</file>

<file path=xl/sharedStrings.xml><?xml version="1.0" encoding="utf-8"?>
<sst xmlns="http://schemas.openxmlformats.org/spreadsheetml/2006/main" count="82" uniqueCount="31">
  <si>
    <t>Escola Fundamental</t>
  </si>
  <si>
    <t>Escola Fundamental Avaliação 10. Trimestre</t>
  </si>
  <si>
    <t>André Pinheiro</t>
  </si>
  <si>
    <t>Disciplinas</t>
  </si>
  <si>
    <t>Partcipação</t>
  </si>
  <si>
    <t>Trabalho</t>
  </si>
  <si>
    <t>Avaliação Periódica</t>
  </si>
  <si>
    <t>Prova Final</t>
  </si>
  <si>
    <t>No. De Faltas</t>
  </si>
  <si>
    <t>Média</t>
  </si>
  <si>
    <t>matemática</t>
  </si>
  <si>
    <t>História</t>
  </si>
  <si>
    <t>Língua Portuguesa</t>
  </si>
  <si>
    <t>Geografia</t>
  </si>
  <si>
    <t>Ciências</t>
  </si>
  <si>
    <t>Educação Física</t>
  </si>
  <si>
    <t>Educação Artística</t>
  </si>
  <si>
    <t>Ensino Religioso</t>
  </si>
  <si>
    <t>Informática</t>
  </si>
  <si>
    <t>Total de Faltas</t>
  </si>
  <si>
    <t>Maior Nota</t>
  </si>
  <si>
    <t>Menor Nota</t>
  </si>
  <si>
    <t>Escola Fundamental Avaliação 20. Trimestre</t>
  </si>
  <si>
    <t>Escola Fundamental Avaliação 30. Trimestre</t>
  </si>
  <si>
    <t>Aluno</t>
  </si>
  <si>
    <t>10. Trimestre</t>
  </si>
  <si>
    <t>20. Trimestre</t>
  </si>
  <si>
    <t>30. Trimestre</t>
  </si>
  <si>
    <t>Faltas</t>
  </si>
  <si>
    <t>Média Final</t>
  </si>
  <si>
    <t>Matemática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</si>
</sst>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8" formatCode="_-* #,##0.0_-;\-* #,##0.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 textRotation="90"/>
    </xf>
    <xf numFmtId="43" fontId="0" fillId="0" borderId="1" xfId="1" applyFont="1" applyBorder="1"/>
    <xf numFmtId="2" fontId="0" fillId="0" borderId="1" xfId="0" applyNumberFormat="1" applyBorder="1"/>
    <xf numFmtId="0" fontId="0" fillId="0" borderId="1" xfId="1" applyNumberFormat="1" applyFont="1" applyBorder="1"/>
    <xf numFmtId="0" fontId="0" fillId="0" borderId="0" xfId="0" applyBorder="1"/>
    <xf numFmtId="164" fontId="2" fillId="0" borderId="1" xfId="0" applyNumberFormat="1" applyFont="1" applyBorder="1"/>
    <xf numFmtId="0" fontId="2" fillId="0" borderId="1" xfId="0" applyFont="1" applyBorder="1"/>
    <xf numFmtId="0" fontId="0" fillId="3" borderId="0" xfId="0" applyFill="1" applyAlignment="1">
      <alignment horizontal="center" vertical="center"/>
    </xf>
    <xf numFmtId="168" fontId="4" fillId="4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0" fillId="5" borderId="0" xfId="0" applyFill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5" fillId="4" borderId="1" xfId="0" applyNumberFormat="1" applyFont="1" applyFill="1" applyBorder="1"/>
    <xf numFmtId="0" fontId="5" fillId="0" borderId="1" xfId="0" applyFont="1" applyBorder="1"/>
    <xf numFmtId="164" fontId="5" fillId="0" borderId="1" xfId="0" applyNumberFormat="1" applyFont="1" applyBorder="1"/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6" borderId="0" xfId="0" applyFont="1" applyFill="1" applyAlignment="1">
      <alignment horizontal="center"/>
    </xf>
    <xf numFmtId="0" fontId="0" fillId="6" borderId="0" xfId="0" applyFill="1"/>
    <xf numFmtId="164" fontId="2" fillId="0" borderId="0" xfId="0" applyNumberFormat="1" applyFont="1"/>
    <xf numFmtId="0" fontId="2" fillId="0" borderId="0" xfId="0" applyFont="1"/>
    <xf numFmtId="2" fontId="2" fillId="0" borderId="0" xfId="0" applyNumberFormat="1" applyFont="1"/>
    <xf numFmtId="0" fontId="2" fillId="6" borderId="0" xfId="0" applyFont="1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66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EFD0-E943-4C39-9FFB-DFC0FD58E89E}">
  <dimension ref="A1:G18"/>
  <sheetViews>
    <sheetView workbookViewId="0">
      <selection activeCell="G7" sqref="G7"/>
    </sheetView>
  </sheetViews>
  <sheetFormatPr defaultRowHeight="15" x14ac:dyDescent="0.25"/>
  <cols>
    <col min="1" max="1" width="16.7109375" customWidth="1"/>
  </cols>
  <sheetData>
    <row r="1" spans="1:7" x14ac:dyDescent="0.25">
      <c r="A1" s="1" t="s">
        <v>1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59.25" customHeight="1" x14ac:dyDescent="0.25">
      <c r="A3" s="3" t="s">
        <v>2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 ht="59.25" customHeight="1" x14ac:dyDescent="0.25">
      <c r="A4" s="3" t="s">
        <v>3</v>
      </c>
      <c r="B4" s="4"/>
      <c r="C4" s="4"/>
      <c r="D4" s="4"/>
      <c r="E4" s="4"/>
      <c r="F4" s="4"/>
      <c r="G4" s="4"/>
    </row>
    <row r="5" spans="1:7" x14ac:dyDescent="0.25">
      <c r="A5" s="3" t="s">
        <v>10</v>
      </c>
      <c r="B5" s="3">
        <v>6.25</v>
      </c>
      <c r="C5" s="3">
        <v>7.25</v>
      </c>
      <c r="D5" s="5">
        <v>6</v>
      </c>
      <c r="E5" s="5">
        <v>5</v>
      </c>
      <c r="F5" s="3">
        <v>20</v>
      </c>
      <c r="G5" s="9">
        <f>AVERAGE(B5:E5)</f>
        <v>6.125</v>
      </c>
    </row>
    <row r="6" spans="1:7" x14ac:dyDescent="0.25">
      <c r="A6" s="3" t="s">
        <v>11</v>
      </c>
      <c r="B6" s="6">
        <v>4</v>
      </c>
      <c r="C6" s="5">
        <v>5.5</v>
      </c>
      <c r="D6" s="5">
        <v>6</v>
      </c>
      <c r="E6" s="5">
        <v>6</v>
      </c>
      <c r="F6" s="7">
        <v>6</v>
      </c>
      <c r="G6" s="9">
        <f t="shared" ref="G6:G13" si="0">AVERAGE(B6:E6)</f>
        <v>5.375</v>
      </c>
    </row>
    <row r="7" spans="1:7" x14ac:dyDescent="0.25">
      <c r="A7" s="3" t="s">
        <v>12</v>
      </c>
      <c r="B7" s="3">
        <v>6.25</v>
      </c>
      <c r="C7" s="3">
        <v>5.25</v>
      </c>
      <c r="D7" s="3">
        <v>8.25</v>
      </c>
      <c r="E7" s="5">
        <v>7</v>
      </c>
      <c r="F7" s="3">
        <v>5</v>
      </c>
      <c r="G7" s="9">
        <f t="shared" si="0"/>
        <v>6.6875</v>
      </c>
    </row>
    <row r="8" spans="1:7" x14ac:dyDescent="0.25">
      <c r="A8" s="3" t="s">
        <v>13</v>
      </c>
      <c r="B8" s="6">
        <v>5.5</v>
      </c>
      <c r="C8" s="5">
        <v>8</v>
      </c>
      <c r="D8" s="5">
        <v>6.5</v>
      </c>
      <c r="E8" s="3">
        <v>7.25</v>
      </c>
      <c r="F8" s="3">
        <v>0</v>
      </c>
      <c r="G8" s="9">
        <f t="shared" si="0"/>
        <v>6.8125</v>
      </c>
    </row>
    <row r="9" spans="1:7" x14ac:dyDescent="0.25">
      <c r="A9" s="3" t="s">
        <v>14</v>
      </c>
      <c r="B9" s="5">
        <v>7</v>
      </c>
      <c r="C9" s="5">
        <v>9.5</v>
      </c>
      <c r="D9" s="3">
        <v>8.25</v>
      </c>
      <c r="E9" s="5">
        <v>7</v>
      </c>
      <c r="F9" s="7">
        <v>0</v>
      </c>
      <c r="G9" s="9">
        <f t="shared" si="0"/>
        <v>7.9375</v>
      </c>
    </row>
    <row r="10" spans="1:7" x14ac:dyDescent="0.25">
      <c r="A10" s="3" t="s">
        <v>16</v>
      </c>
      <c r="B10" s="3">
        <v>9.25</v>
      </c>
      <c r="C10" s="5">
        <v>8</v>
      </c>
      <c r="D10" s="5">
        <v>9</v>
      </c>
      <c r="E10" s="5">
        <v>10</v>
      </c>
      <c r="F10" s="7">
        <v>2</v>
      </c>
      <c r="G10" s="9">
        <f t="shared" si="0"/>
        <v>9.0625</v>
      </c>
    </row>
    <row r="11" spans="1:7" x14ac:dyDescent="0.25">
      <c r="A11" s="3" t="s">
        <v>15</v>
      </c>
      <c r="B11" s="6">
        <v>8</v>
      </c>
      <c r="C11" s="5">
        <v>9.5</v>
      </c>
      <c r="D11" s="5">
        <v>8</v>
      </c>
      <c r="E11" s="5">
        <v>8</v>
      </c>
      <c r="F11" s="7">
        <v>0</v>
      </c>
      <c r="G11" s="9">
        <f t="shared" si="0"/>
        <v>8.375</v>
      </c>
    </row>
    <row r="12" spans="1:7" x14ac:dyDescent="0.25">
      <c r="A12" s="3" t="s">
        <v>17</v>
      </c>
      <c r="B12" s="3">
        <v>7.25</v>
      </c>
      <c r="C12" s="3">
        <v>8.25</v>
      </c>
      <c r="D12" s="5">
        <v>6.5</v>
      </c>
      <c r="E12" s="3">
        <v>9.25</v>
      </c>
      <c r="F12" s="7">
        <v>2</v>
      </c>
      <c r="G12" s="9">
        <f t="shared" si="0"/>
        <v>7.8125</v>
      </c>
    </row>
    <row r="13" spans="1:7" x14ac:dyDescent="0.25">
      <c r="A13" s="3" t="s">
        <v>18</v>
      </c>
      <c r="B13" s="5">
        <v>10</v>
      </c>
      <c r="C13" s="3">
        <v>8.25</v>
      </c>
      <c r="D13" s="5">
        <v>7</v>
      </c>
      <c r="E13" s="5">
        <v>9.5</v>
      </c>
      <c r="F13" s="7">
        <v>0</v>
      </c>
      <c r="G13" s="9">
        <f t="shared" si="0"/>
        <v>8.6875</v>
      </c>
    </row>
    <row r="14" spans="1:7" x14ac:dyDescent="0.25">
      <c r="G14" s="2"/>
    </row>
    <row r="15" spans="1:7" x14ac:dyDescent="0.25">
      <c r="A15" s="3" t="s">
        <v>19</v>
      </c>
      <c r="B15" s="10">
        <f>SUM(F5:F13)</f>
        <v>35</v>
      </c>
    </row>
    <row r="16" spans="1:7" x14ac:dyDescent="0.25">
      <c r="A16" s="3" t="s">
        <v>20</v>
      </c>
      <c r="B16" s="9">
        <f>MAX(G5:G13)</f>
        <v>9.0625</v>
      </c>
    </row>
    <row r="17" spans="1:2" x14ac:dyDescent="0.25">
      <c r="A17" s="3" t="s">
        <v>21</v>
      </c>
      <c r="B17" s="9">
        <f>MIN(G5:G13)</f>
        <v>5.375</v>
      </c>
    </row>
    <row r="18" spans="1:2" x14ac:dyDescent="0.25">
      <c r="A18" s="8"/>
      <c r="B18" s="8"/>
    </row>
  </sheetData>
  <mergeCells count="7">
    <mergeCell ref="A1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  <ignoredErrors>
    <ignoredError sqref="G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FFBB-1805-46D7-ABCB-F258DE303FF0}">
  <dimension ref="A1:G18"/>
  <sheetViews>
    <sheetView workbookViewId="0">
      <selection activeCell="G6" sqref="G6"/>
    </sheetView>
  </sheetViews>
  <sheetFormatPr defaultRowHeight="15" x14ac:dyDescent="0.25"/>
  <cols>
    <col min="1" max="1" width="16.7109375" customWidth="1"/>
  </cols>
  <sheetData>
    <row r="1" spans="1:7" x14ac:dyDescent="0.25">
      <c r="A1" s="11" t="s">
        <v>22</v>
      </c>
      <c r="B1" s="11"/>
      <c r="C1" s="11"/>
      <c r="D1" s="11"/>
      <c r="E1" s="11"/>
      <c r="F1" s="11"/>
      <c r="G1" s="11"/>
    </row>
    <row r="2" spans="1:7" x14ac:dyDescent="0.25">
      <c r="A2" s="11"/>
      <c r="B2" s="11"/>
      <c r="C2" s="11"/>
      <c r="D2" s="11"/>
      <c r="E2" s="11"/>
      <c r="F2" s="11"/>
      <c r="G2" s="11"/>
    </row>
    <row r="3" spans="1:7" ht="59.25" customHeight="1" x14ac:dyDescent="0.25">
      <c r="A3" s="3" t="s">
        <v>2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 ht="59.25" customHeight="1" x14ac:dyDescent="0.25">
      <c r="A4" s="3" t="s">
        <v>3</v>
      </c>
      <c r="B4" s="4"/>
      <c r="C4" s="4"/>
      <c r="D4" s="4"/>
      <c r="E4" s="4"/>
      <c r="F4" s="4"/>
      <c r="G4" s="4"/>
    </row>
    <row r="5" spans="1:7" x14ac:dyDescent="0.25">
      <c r="A5" s="3" t="s">
        <v>10</v>
      </c>
      <c r="B5" s="16">
        <v>7</v>
      </c>
      <c r="C5" s="17">
        <v>5</v>
      </c>
      <c r="D5" s="17">
        <v>5.5</v>
      </c>
      <c r="E5" s="16">
        <v>5.5</v>
      </c>
      <c r="F5" s="17">
        <v>21</v>
      </c>
      <c r="G5" s="12">
        <f>AVERAGE(B5:E5)</f>
        <v>5.75</v>
      </c>
    </row>
    <row r="6" spans="1:7" x14ac:dyDescent="0.25">
      <c r="A6" s="3" t="s">
        <v>11</v>
      </c>
      <c r="B6" s="16">
        <v>7</v>
      </c>
      <c r="C6" s="17">
        <v>6</v>
      </c>
      <c r="D6" s="17">
        <v>7</v>
      </c>
      <c r="E6" s="16">
        <v>7</v>
      </c>
      <c r="F6" s="17">
        <v>6</v>
      </c>
      <c r="G6" s="12">
        <f t="shared" ref="G6:G13" si="0">AVERAGE(B6:E6)</f>
        <v>6.75</v>
      </c>
    </row>
    <row r="7" spans="1:7" x14ac:dyDescent="0.25">
      <c r="A7" s="3" t="s">
        <v>12</v>
      </c>
      <c r="B7" s="16">
        <v>8</v>
      </c>
      <c r="C7" s="17">
        <v>6</v>
      </c>
      <c r="D7" s="17">
        <v>8</v>
      </c>
      <c r="E7" s="16">
        <v>7</v>
      </c>
      <c r="F7" s="17">
        <v>5</v>
      </c>
      <c r="G7" s="12">
        <f t="shared" si="0"/>
        <v>7.25</v>
      </c>
    </row>
    <row r="8" spans="1:7" x14ac:dyDescent="0.25">
      <c r="A8" s="3" t="s">
        <v>13</v>
      </c>
      <c r="B8" s="16">
        <v>7</v>
      </c>
      <c r="C8" s="17">
        <v>7</v>
      </c>
      <c r="D8" s="17">
        <v>7</v>
      </c>
      <c r="E8" s="17">
        <v>7.25</v>
      </c>
      <c r="F8" s="17">
        <v>0</v>
      </c>
      <c r="G8" s="12">
        <f t="shared" si="0"/>
        <v>7.0625</v>
      </c>
    </row>
    <row r="9" spans="1:7" x14ac:dyDescent="0.25">
      <c r="A9" s="3" t="s">
        <v>14</v>
      </c>
      <c r="B9" s="16">
        <v>7</v>
      </c>
      <c r="C9" s="17">
        <v>6</v>
      </c>
      <c r="D9" s="17">
        <v>8.25</v>
      </c>
      <c r="E9" s="16">
        <v>7</v>
      </c>
      <c r="F9" s="17">
        <v>0</v>
      </c>
      <c r="G9" s="12">
        <f t="shared" si="0"/>
        <v>7.0625</v>
      </c>
    </row>
    <row r="10" spans="1:7" x14ac:dyDescent="0.25">
      <c r="A10" s="3" t="s">
        <v>16</v>
      </c>
      <c r="B10" s="16">
        <v>7</v>
      </c>
      <c r="C10" s="17">
        <v>7</v>
      </c>
      <c r="D10" s="17">
        <v>6</v>
      </c>
      <c r="E10" s="16">
        <v>10</v>
      </c>
      <c r="F10" s="17">
        <v>2</v>
      </c>
      <c r="G10" s="12">
        <f t="shared" si="0"/>
        <v>7.5</v>
      </c>
    </row>
    <row r="11" spans="1:7" x14ac:dyDescent="0.25">
      <c r="A11" s="3" t="s">
        <v>15</v>
      </c>
      <c r="B11" s="16">
        <v>8</v>
      </c>
      <c r="C11" s="17">
        <v>7</v>
      </c>
      <c r="D11" s="17">
        <v>7</v>
      </c>
      <c r="E11" s="16">
        <v>7</v>
      </c>
      <c r="F11" s="17">
        <v>0</v>
      </c>
      <c r="G11" s="12">
        <f t="shared" si="0"/>
        <v>7.25</v>
      </c>
    </row>
    <row r="12" spans="1:7" x14ac:dyDescent="0.25">
      <c r="A12" s="3" t="s">
        <v>17</v>
      </c>
      <c r="B12" s="17">
        <v>7.25</v>
      </c>
      <c r="C12" s="17">
        <v>8</v>
      </c>
      <c r="D12" s="17">
        <v>7</v>
      </c>
      <c r="E12" s="17">
        <v>9.25</v>
      </c>
      <c r="F12" s="17">
        <v>2</v>
      </c>
      <c r="G12" s="12">
        <f t="shared" si="0"/>
        <v>7.875</v>
      </c>
    </row>
    <row r="13" spans="1:7" x14ac:dyDescent="0.25">
      <c r="A13" s="3" t="s">
        <v>18</v>
      </c>
      <c r="B13" s="16">
        <v>7</v>
      </c>
      <c r="C13" s="17">
        <v>7</v>
      </c>
      <c r="D13" s="17">
        <v>7</v>
      </c>
      <c r="E13" s="16">
        <v>9.5</v>
      </c>
      <c r="F13" s="17">
        <v>0</v>
      </c>
      <c r="G13" s="12">
        <f t="shared" si="0"/>
        <v>7.625</v>
      </c>
    </row>
    <row r="14" spans="1:7" x14ac:dyDescent="0.25">
      <c r="G14" s="2"/>
    </row>
    <row r="15" spans="1:7" x14ac:dyDescent="0.25">
      <c r="A15" s="3" t="s">
        <v>19</v>
      </c>
      <c r="B15" s="13">
        <f>SUM(F5:F13)</f>
        <v>36</v>
      </c>
    </row>
    <row r="16" spans="1:7" x14ac:dyDescent="0.25">
      <c r="A16" s="3" t="s">
        <v>20</v>
      </c>
      <c r="B16" s="14">
        <f>MAX(G5:G13)</f>
        <v>7.875</v>
      </c>
    </row>
    <row r="17" spans="1:2" x14ac:dyDescent="0.25">
      <c r="A17" s="3" t="s">
        <v>21</v>
      </c>
      <c r="B17" s="14">
        <f>MIN(G5:G13)</f>
        <v>5.75</v>
      </c>
    </row>
    <row r="18" spans="1:2" x14ac:dyDescent="0.25">
      <c r="A18" s="8"/>
      <c r="B18" s="8"/>
    </row>
  </sheetData>
  <mergeCells count="7">
    <mergeCell ref="A1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  <ignoredErrors>
    <ignoredError sqref="G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E3D4-FF76-4F33-914F-B358699DF11A}">
  <dimension ref="A1:G18"/>
  <sheetViews>
    <sheetView workbookViewId="0">
      <selection activeCell="B24" sqref="B24"/>
    </sheetView>
  </sheetViews>
  <sheetFormatPr defaultRowHeight="15" x14ac:dyDescent="0.25"/>
  <cols>
    <col min="1" max="1" width="16.7109375" customWidth="1"/>
  </cols>
  <sheetData>
    <row r="1" spans="1:7" x14ac:dyDescent="0.25">
      <c r="A1" s="15" t="s">
        <v>23</v>
      </c>
      <c r="B1" s="15"/>
      <c r="C1" s="15"/>
      <c r="D1" s="15"/>
      <c r="E1" s="15"/>
      <c r="F1" s="15"/>
      <c r="G1" s="15"/>
    </row>
    <row r="2" spans="1:7" x14ac:dyDescent="0.25">
      <c r="A2" s="15"/>
      <c r="B2" s="15"/>
      <c r="C2" s="15"/>
      <c r="D2" s="15"/>
      <c r="E2" s="15"/>
      <c r="F2" s="15"/>
      <c r="G2" s="15"/>
    </row>
    <row r="3" spans="1:7" ht="59.25" customHeight="1" x14ac:dyDescent="0.25">
      <c r="A3" s="3" t="s">
        <v>2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 ht="59.25" customHeight="1" x14ac:dyDescent="0.25">
      <c r="A4" s="3" t="s">
        <v>3</v>
      </c>
      <c r="B4" s="4"/>
      <c r="C4" s="4"/>
      <c r="D4" s="4"/>
      <c r="E4" s="4"/>
      <c r="F4" s="4"/>
      <c r="G4" s="4"/>
    </row>
    <row r="5" spans="1:7" x14ac:dyDescent="0.25">
      <c r="A5" s="3" t="s">
        <v>10</v>
      </c>
      <c r="B5" s="16">
        <v>5</v>
      </c>
      <c r="C5" s="16">
        <v>5</v>
      </c>
      <c r="D5" s="16">
        <v>4</v>
      </c>
      <c r="E5" s="16">
        <v>4</v>
      </c>
      <c r="F5" s="17">
        <v>1</v>
      </c>
      <c r="G5" s="18">
        <f>AVERAGE(B5:E5)</f>
        <v>4.5</v>
      </c>
    </row>
    <row r="6" spans="1:7" x14ac:dyDescent="0.25">
      <c r="A6" s="3" t="s">
        <v>11</v>
      </c>
      <c r="B6" s="16">
        <v>8</v>
      </c>
      <c r="C6" s="16">
        <v>6</v>
      </c>
      <c r="D6" s="16">
        <v>6</v>
      </c>
      <c r="E6" s="16">
        <v>8</v>
      </c>
      <c r="F6" s="17">
        <v>2</v>
      </c>
      <c r="G6" s="18">
        <f t="shared" ref="G6:G13" si="0">AVERAGE(B6:E6)</f>
        <v>7</v>
      </c>
    </row>
    <row r="7" spans="1:7" x14ac:dyDescent="0.25">
      <c r="A7" s="3" t="s">
        <v>12</v>
      </c>
      <c r="B7" s="16">
        <v>6.25</v>
      </c>
      <c r="C7" s="16">
        <v>5.25</v>
      </c>
      <c r="D7" s="16">
        <v>8.25</v>
      </c>
      <c r="E7" s="16">
        <v>7</v>
      </c>
      <c r="F7" s="17">
        <v>1</v>
      </c>
      <c r="G7" s="18">
        <f t="shared" si="0"/>
        <v>6.6875</v>
      </c>
    </row>
    <row r="8" spans="1:7" x14ac:dyDescent="0.25">
      <c r="A8" s="3" t="s">
        <v>13</v>
      </c>
      <c r="B8" s="16">
        <v>5.5</v>
      </c>
      <c r="C8" s="16">
        <v>8</v>
      </c>
      <c r="D8" s="16">
        <v>6.5</v>
      </c>
      <c r="E8" s="16">
        <v>7.25</v>
      </c>
      <c r="F8" s="17">
        <v>2</v>
      </c>
      <c r="G8" s="18">
        <f t="shared" si="0"/>
        <v>6.8125</v>
      </c>
    </row>
    <row r="9" spans="1:7" x14ac:dyDescent="0.25">
      <c r="A9" s="3" t="s">
        <v>14</v>
      </c>
      <c r="B9" s="16">
        <v>7</v>
      </c>
      <c r="C9" s="16">
        <v>9.5</v>
      </c>
      <c r="D9" s="16">
        <v>8.25</v>
      </c>
      <c r="E9" s="16">
        <v>7</v>
      </c>
      <c r="F9" s="17">
        <v>2</v>
      </c>
      <c r="G9" s="18">
        <f t="shared" si="0"/>
        <v>7.9375</v>
      </c>
    </row>
    <row r="10" spans="1:7" x14ac:dyDescent="0.25">
      <c r="A10" s="3" t="s">
        <v>16</v>
      </c>
      <c r="B10" s="16">
        <v>9.25</v>
      </c>
      <c r="C10" s="16">
        <v>8</v>
      </c>
      <c r="D10" s="16">
        <v>9</v>
      </c>
      <c r="E10" s="16">
        <v>10</v>
      </c>
      <c r="F10" s="17">
        <v>1</v>
      </c>
      <c r="G10" s="18">
        <f t="shared" si="0"/>
        <v>9.0625</v>
      </c>
    </row>
    <row r="11" spans="1:7" x14ac:dyDescent="0.25">
      <c r="A11" s="3" t="s">
        <v>15</v>
      </c>
      <c r="B11" s="16">
        <v>8</v>
      </c>
      <c r="C11" s="16">
        <v>10</v>
      </c>
      <c r="D11" s="16">
        <v>9</v>
      </c>
      <c r="E11" s="16">
        <v>9</v>
      </c>
      <c r="F11" s="17">
        <v>0</v>
      </c>
      <c r="G11" s="18">
        <f t="shared" si="0"/>
        <v>9</v>
      </c>
    </row>
    <row r="12" spans="1:7" x14ac:dyDescent="0.25">
      <c r="A12" s="3" t="s">
        <v>17</v>
      </c>
      <c r="B12" s="16">
        <v>7.25</v>
      </c>
      <c r="C12" s="16">
        <v>8.25</v>
      </c>
      <c r="D12" s="16">
        <v>6.5</v>
      </c>
      <c r="E12" s="16">
        <v>9.25</v>
      </c>
      <c r="F12" s="17">
        <v>0</v>
      </c>
      <c r="G12" s="18">
        <f t="shared" si="0"/>
        <v>7.8125</v>
      </c>
    </row>
    <row r="13" spans="1:7" x14ac:dyDescent="0.25">
      <c r="A13" s="3" t="s">
        <v>18</v>
      </c>
      <c r="B13" s="16">
        <v>10</v>
      </c>
      <c r="C13" s="16">
        <v>8.25</v>
      </c>
      <c r="D13" s="16">
        <v>7</v>
      </c>
      <c r="E13" s="16">
        <v>9.5</v>
      </c>
      <c r="F13" s="17">
        <v>0</v>
      </c>
      <c r="G13" s="18">
        <f t="shared" si="0"/>
        <v>8.6875</v>
      </c>
    </row>
    <row r="14" spans="1:7" x14ac:dyDescent="0.25">
      <c r="G14" s="2"/>
    </row>
    <row r="15" spans="1:7" x14ac:dyDescent="0.25">
      <c r="A15" s="3" t="s">
        <v>19</v>
      </c>
      <c r="B15" s="19">
        <f>SUM(F5:F13)</f>
        <v>9</v>
      </c>
    </row>
    <row r="16" spans="1:7" x14ac:dyDescent="0.25">
      <c r="A16" s="3" t="s">
        <v>20</v>
      </c>
      <c r="B16" s="20">
        <f>MAX(G5:G13)</f>
        <v>9.0625</v>
      </c>
    </row>
    <row r="17" spans="1:2" x14ac:dyDescent="0.25">
      <c r="A17" s="3" t="s">
        <v>21</v>
      </c>
      <c r="B17" s="20">
        <f>MIN(G5:G13)</f>
        <v>4.5</v>
      </c>
    </row>
    <row r="18" spans="1:2" x14ac:dyDescent="0.25">
      <c r="A18" s="8"/>
      <c r="B18" s="8"/>
    </row>
  </sheetData>
  <mergeCells count="7">
    <mergeCell ref="A1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D1F0F-FDA9-4E50-9E85-20AEA44F498C}">
  <dimension ref="A1:F13"/>
  <sheetViews>
    <sheetView tabSelected="1" workbookViewId="0">
      <selection activeCell="F18" sqref="F18"/>
    </sheetView>
  </sheetViews>
  <sheetFormatPr defaultRowHeight="15" x14ac:dyDescent="0.25"/>
  <cols>
    <col min="1" max="6" width="19.28515625" customWidth="1"/>
  </cols>
  <sheetData>
    <row r="1" spans="1:6" x14ac:dyDescent="0.25">
      <c r="A1" s="22" t="s">
        <v>0</v>
      </c>
      <c r="B1" s="1"/>
      <c r="C1" s="1"/>
      <c r="D1" s="1"/>
      <c r="E1" s="1"/>
      <c r="F1" s="1"/>
    </row>
    <row r="2" spans="1:6" x14ac:dyDescent="0.25">
      <c r="A2" s="23" t="s">
        <v>24</v>
      </c>
      <c r="B2" s="23" t="s">
        <v>2</v>
      </c>
      <c r="C2" s="21"/>
      <c r="D2" s="21"/>
      <c r="E2" s="21"/>
      <c r="F2" s="21"/>
    </row>
    <row r="3" spans="1:6" x14ac:dyDescent="0.25">
      <c r="A3" s="24" t="s">
        <v>3</v>
      </c>
      <c r="B3" s="24" t="s">
        <v>25</v>
      </c>
      <c r="C3" s="24" t="s">
        <v>26</v>
      </c>
      <c r="D3" s="24" t="s">
        <v>27</v>
      </c>
      <c r="E3" s="24" t="s">
        <v>28</v>
      </c>
      <c r="F3" s="24" t="s">
        <v>29</v>
      </c>
    </row>
    <row r="4" spans="1:6" x14ac:dyDescent="0.25">
      <c r="A4" t="s">
        <v>30</v>
      </c>
      <c r="B4" s="26">
        <f>Planilha1!G5</f>
        <v>6.125</v>
      </c>
      <c r="C4" s="26">
        <f>'Planilha1 (2)'!G5</f>
        <v>5.75</v>
      </c>
      <c r="D4" s="27">
        <f>'planilha 3'!G5</f>
        <v>4.5</v>
      </c>
      <c r="E4" s="27">
        <f>Planilha1!F5+'Planilha1 (2)'!F5+'planilha 3'!F5</f>
        <v>42</v>
      </c>
      <c r="F4" s="28">
        <f>AVERAGE(B4:D4)</f>
        <v>5.458333333333333</v>
      </c>
    </row>
    <row r="5" spans="1:6" x14ac:dyDescent="0.25">
      <c r="A5" t="s">
        <v>11</v>
      </c>
      <c r="B5" s="26">
        <f>Planilha1!G6</f>
        <v>5.375</v>
      </c>
      <c r="C5" s="26">
        <f>'Planilha1 (2)'!G6</f>
        <v>6.75</v>
      </c>
      <c r="D5" s="27">
        <f>'planilha 3'!G6</f>
        <v>7</v>
      </c>
      <c r="E5" s="27">
        <f>Planilha1!F6+'Planilha1 (2)'!F6+'planilha 3'!F6</f>
        <v>14</v>
      </c>
      <c r="F5" s="28">
        <f>AVERAGE(B5:D5)</f>
        <v>6.375</v>
      </c>
    </row>
    <row r="6" spans="1:6" x14ac:dyDescent="0.25">
      <c r="A6" t="s">
        <v>12</v>
      </c>
      <c r="B6" s="26">
        <f>Planilha1!G7</f>
        <v>6.6875</v>
      </c>
      <c r="C6" s="26">
        <f>'Planilha1 (2)'!G7</f>
        <v>7.25</v>
      </c>
      <c r="D6" s="26">
        <f>'planilha 3'!G7</f>
        <v>6.6875</v>
      </c>
      <c r="E6" s="27">
        <f>Planilha1!F7+'Planilha1 (2)'!F7+'planilha 3'!F7</f>
        <v>11</v>
      </c>
      <c r="F6" s="28">
        <f>AVERAGE(B6:D6)</f>
        <v>6.875</v>
      </c>
    </row>
    <row r="7" spans="1:6" x14ac:dyDescent="0.25">
      <c r="A7" t="s">
        <v>13</v>
      </c>
      <c r="B7" s="26">
        <f>Planilha1!G8</f>
        <v>6.8125</v>
      </c>
      <c r="C7" s="26">
        <f>'Planilha1 (2)'!G8</f>
        <v>7.0625</v>
      </c>
      <c r="D7" s="26">
        <f>'planilha 3'!G8</f>
        <v>6.8125</v>
      </c>
      <c r="E7" s="27">
        <f>Planilha1!F8+'Planilha1 (2)'!F8+'planilha 3'!F8</f>
        <v>2</v>
      </c>
      <c r="F7" s="28">
        <f>AVERAGE(B7:D7)</f>
        <v>6.895833333333333</v>
      </c>
    </row>
    <row r="8" spans="1:6" x14ac:dyDescent="0.25">
      <c r="A8" t="s">
        <v>14</v>
      </c>
      <c r="B8" s="26">
        <f>Planilha1!G9</f>
        <v>7.9375</v>
      </c>
      <c r="C8" s="26">
        <f>'Planilha1 (2)'!G9</f>
        <v>7.0625</v>
      </c>
      <c r="D8" s="26">
        <f>'planilha 3'!G9</f>
        <v>7.9375</v>
      </c>
      <c r="E8" s="27">
        <f>Planilha1!F9+'Planilha1 (2)'!F9+'planilha 3'!F9</f>
        <v>2</v>
      </c>
      <c r="F8" s="28">
        <f>AVERAGE(B8:D8)</f>
        <v>7.645833333333333</v>
      </c>
    </row>
    <row r="9" spans="1:6" x14ac:dyDescent="0.25">
      <c r="A9" t="s">
        <v>16</v>
      </c>
      <c r="B9" s="26">
        <f>Planilha1!G10</f>
        <v>9.0625</v>
      </c>
      <c r="C9" s="26">
        <f>'Planilha1 (2)'!G10</f>
        <v>7.5</v>
      </c>
      <c r="D9" s="26">
        <f>'planilha 3'!G10</f>
        <v>9.0625</v>
      </c>
      <c r="E9" s="27">
        <f>Planilha1!F10+'Planilha1 (2)'!F10+'planilha 3'!F10</f>
        <v>5</v>
      </c>
      <c r="F9" s="28">
        <f>AVERAGE(B9:D9)</f>
        <v>8.5416666666666661</v>
      </c>
    </row>
    <row r="10" spans="1:6" x14ac:dyDescent="0.25">
      <c r="A10" t="s">
        <v>15</v>
      </c>
      <c r="B10" s="26">
        <f>Planilha1!G11</f>
        <v>8.375</v>
      </c>
      <c r="C10" s="26">
        <f>'Planilha1 (2)'!G11</f>
        <v>7.25</v>
      </c>
      <c r="D10" s="26">
        <f>'planilha 3'!G11</f>
        <v>9</v>
      </c>
      <c r="E10" s="27">
        <f>Planilha1!F11+'Planilha1 (2)'!F11+'planilha 3'!F11</f>
        <v>0</v>
      </c>
      <c r="F10" s="28">
        <f>AVERAGE(B10:D10)</f>
        <v>8.2083333333333339</v>
      </c>
    </row>
    <row r="11" spans="1:6" x14ac:dyDescent="0.25">
      <c r="A11" t="s">
        <v>17</v>
      </c>
      <c r="B11" s="26">
        <f>Planilha1!G12</f>
        <v>7.8125</v>
      </c>
      <c r="C11" s="26">
        <f>'Planilha1 (2)'!G12</f>
        <v>7.875</v>
      </c>
      <c r="D11" s="26">
        <f>'planilha 3'!G12</f>
        <v>7.8125</v>
      </c>
      <c r="E11" s="27">
        <f>Planilha1!F12+'Planilha1 (2)'!F12+'planilha 3'!F12</f>
        <v>4</v>
      </c>
      <c r="F11" s="28">
        <f>AVERAGE(B11:D11)</f>
        <v>7.833333333333333</v>
      </c>
    </row>
    <row r="12" spans="1:6" x14ac:dyDescent="0.25">
      <c r="A12" t="s">
        <v>18</v>
      </c>
      <c r="B12" s="26">
        <f>Planilha1!G13</f>
        <v>8.6875</v>
      </c>
      <c r="C12" s="26">
        <f>'Planilha1 (2)'!G13</f>
        <v>7.625</v>
      </c>
      <c r="D12" s="26">
        <f>'planilha 3'!G13</f>
        <v>8.6875</v>
      </c>
      <c r="E12" s="27">
        <f>Planilha1!F13+'Planilha1 (2)'!F13+'planilha 3'!F13</f>
        <v>0</v>
      </c>
      <c r="F12" s="28">
        <f>AVERAGE(B12:D12)</f>
        <v>8.3333333333333339</v>
      </c>
    </row>
    <row r="13" spans="1:6" x14ac:dyDescent="0.25">
      <c r="A13" s="25"/>
      <c r="B13" s="25"/>
      <c r="C13" s="25"/>
      <c r="D13" s="25" t="s">
        <v>19</v>
      </c>
      <c r="E13" s="29">
        <f>SUM(E4:E12)</f>
        <v>80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Planilha1 (2)</vt:lpstr>
      <vt:lpstr>planilha 3</vt:lpstr>
      <vt:lpstr>planilha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2026-03-25T16:46:25Z</dcterms:created>
  <dcterms:modified xsi:type="dcterms:W3CDTF">2026-03-25T18:37:35Z</dcterms:modified>
</cp:coreProperties>
</file>