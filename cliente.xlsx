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3D3025CD-EAC5-4468-AA05-3854556278D2}" xr6:coauthVersionLast="47" xr6:coauthVersionMax="47" xr10:uidLastSave="{00000000-0000-0000-0000-000000000000}"/>
  <bookViews>
    <workbookView xWindow="-105" yWindow="0" windowWidth="14610" windowHeight="15585" xr2:uid="{56558477-A03F-494B-8BF2-2B169ED7F394}"/>
  </bookViews>
  <sheets>
    <sheet name="CLIENTES" sheetId="1" r:id="rId1"/>
    <sheet name="CLASSIFIC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D13" i="1" a="1"/>
  <c r="D13" i="1" s="1"/>
  <c r="D14" i="1" a="1"/>
  <c r="D14" i="1"/>
  <c r="C14" i="1"/>
  <c r="B14" i="1"/>
  <c r="B13" i="1"/>
  <c r="C2" i="1"/>
  <c r="C3" i="1"/>
  <c r="C4" i="1"/>
  <c r="C5" i="1"/>
  <c r="C6" i="1"/>
  <c r="C7" i="1"/>
  <c r="C8" i="1"/>
  <c r="C9" i="1"/>
  <c r="C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<sst xmlns="http://schemas.openxmlformats.org/spreadsheetml/2006/main" count="24" uniqueCount="23">
  <si>
    <t>Cliente</t>
  </si>
  <si>
    <t>Renda Mensal</t>
  </si>
  <si>
    <t>Jacira</t>
  </si>
  <si>
    <t>Emilene</t>
  </si>
  <si>
    <t>Claudio</t>
  </si>
  <si>
    <t>Eneida</t>
  </si>
  <si>
    <t>Cristina</t>
  </si>
  <si>
    <t>Roseli</t>
  </si>
  <si>
    <t>Margarida</t>
  </si>
  <si>
    <t>Rosana</t>
  </si>
  <si>
    <t>Hilda</t>
  </si>
  <si>
    <t>Classificação</t>
  </si>
  <si>
    <t>RENDA MENSAL</t>
  </si>
  <si>
    <t>Maior Renda</t>
  </si>
  <si>
    <t>Menor Renda</t>
  </si>
  <si>
    <t>VALOR</t>
  </si>
  <si>
    <t>POSIÇÃO</t>
  </si>
  <si>
    <t>CLIENTE</t>
  </si>
  <si>
    <t>CLASSIFICAÇÃO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</si>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</sst>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44" fontId="0" fillId="0" borderId="1" xfId="0" applyNumberFormat="1" applyBorder="1" applyAlignment="1"/>
    <xf numFmtId="0" fontId="0" fillId="2" borderId="1" xfId="0" applyFont="1" applyFill="1" applyBorder="1"/>
    <xf numFmtId="44" fontId="0" fillId="0" borderId="1" xfId="1" applyNumberFormat="1" applyFont="1" applyBorder="1"/>
    <xf numFmtId="44" fontId="0" fillId="0" borderId="1" xfId="0" applyNumberForma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3408-5AAB-43B8-847E-D8EA9A9D1FE1}">
  <dimension ref="A1:D14"/>
  <sheetViews>
    <sheetView tabSelected="1" workbookViewId="0">
      <selection activeCell="C14" sqref="C14"/>
    </sheetView>
  </sheetViews>
  <sheetFormatPr defaultRowHeight="15" x14ac:dyDescent="0.25"/>
  <cols>
    <col min="1" max="1" width="15.5703125" customWidth="1"/>
    <col min="2" max="2" width="15.85546875" customWidth="1"/>
    <col min="3" max="4" width="14" customWidth="1"/>
  </cols>
  <sheetData>
    <row r="1" spans="1:4" ht="20.25" customHeight="1" x14ac:dyDescent="0.25">
      <c r="A1" s="3" t="s">
        <v>0</v>
      </c>
      <c r="B1" s="3" t="s">
        <v>1</v>
      </c>
      <c r="C1" s="3" t="s">
        <v>11</v>
      </c>
    </row>
    <row r="2" spans="1:4" ht="20.25" customHeight="1" x14ac:dyDescent="0.25">
      <c r="A2" s="1" t="s">
        <v>2</v>
      </c>
      <c r="B2" s="2">
        <v>3500</v>
      </c>
      <c r="C2" s="7" t="str">
        <f>HLOOKUP(B2,CLASSIFICAÇÃO!A$1:E$2,2,TRUE)</f>
        <v>B</v>
      </c>
    </row>
    <row r="3" spans="1:4" ht="20.25" customHeight="1" x14ac:dyDescent="0.25">
      <c r="A3" s="1" t="s">
        <v>3</v>
      </c>
      <c r="B3" s="2">
        <v>1200</v>
      </c>
      <c r="C3" s="7" t="str">
        <f>HLOOKUP(B3,CLASSIFICAÇÃO!A$1:E$2,2,TRUE)</f>
        <v>C</v>
      </c>
    </row>
    <row r="4" spans="1:4" ht="20.25" customHeight="1" x14ac:dyDescent="0.25">
      <c r="A4" s="1" t="s">
        <v>4</v>
      </c>
      <c r="B4" s="2">
        <v>4500</v>
      </c>
      <c r="C4" s="7" t="str">
        <f>HLOOKUP(B4,CLASSIFICAÇÃO!A$1:E$2,2,TRUE)</f>
        <v>A</v>
      </c>
    </row>
    <row r="5" spans="1:4" ht="20.25" customHeight="1" x14ac:dyDescent="0.25">
      <c r="A5" s="1" t="s">
        <v>5</v>
      </c>
      <c r="B5" s="2">
        <v>750</v>
      </c>
      <c r="C5" s="7" t="str">
        <f>HLOOKUP(B5,CLASSIFICAÇÃO!A$1:E$2,2,TRUE)</f>
        <v>D</v>
      </c>
    </row>
    <row r="6" spans="1:4" ht="20.25" customHeight="1" x14ac:dyDescent="0.25">
      <c r="A6" s="1" t="s">
        <v>6</v>
      </c>
      <c r="B6" s="2">
        <v>1300</v>
      </c>
      <c r="C6" s="7" t="str">
        <f>HLOOKUP(B6,CLASSIFICAÇÃO!A$1:E$2,2,TRUE)</f>
        <v>C</v>
      </c>
    </row>
    <row r="7" spans="1:4" ht="20.25" customHeight="1" x14ac:dyDescent="0.25">
      <c r="A7" s="1" t="s">
        <v>7</v>
      </c>
      <c r="B7" s="2">
        <v>9000</v>
      </c>
      <c r="C7" s="7" t="str">
        <f>HLOOKUP(B7,CLASSIFICAÇÃO!A$1:E$2,2,TRUE)</f>
        <v>A</v>
      </c>
    </row>
    <row r="8" spans="1:4" ht="20.25" customHeight="1" x14ac:dyDescent="0.25">
      <c r="A8" s="1" t="s">
        <v>8</v>
      </c>
      <c r="B8" s="2">
        <v>1800</v>
      </c>
      <c r="C8" s="7" t="str">
        <f>HLOOKUP(B8,CLASSIFICAÇÃO!A$1:E$2,2,TRUE)</f>
        <v>C</v>
      </c>
    </row>
    <row r="9" spans="1:4" ht="20.25" customHeight="1" x14ac:dyDescent="0.25">
      <c r="A9" s="1" t="s">
        <v>9</v>
      </c>
      <c r="B9" s="2">
        <v>2600</v>
      </c>
      <c r="C9" s="7" t="str">
        <f>HLOOKUP(B9,CLASSIFICAÇÃO!A$1:E$2,2,TRUE)</f>
        <v>B</v>
      </c>
    </row>
    <row r="10" spans="1:4" ht="20.25" customHeight="1" x14ac:dyDescent="0.25">
      <c r="A10" s="1" t="s">
        <v>10</v>
      </c>
      <c r="B10" s="2">
        <v>3500</v>
      </c>
      <c r="C10" s="7" t="str">
        <f>HLOOKUP(B10,CLASSIFICAÇÃO!A$1:E$2,2,TRUE)</f>
        <v>B</v>
      </c>
    </row>
    <row r="12" spans="1:4" x14ac:dyDescent="0.25">
      <c r="A12" s="1" t="s">
        <v>12</v>
      </c>
      <c r="B12" s="1" t="s">
        <v>15</v>
      </c>
      <c r="C12" s="1" t="s">
        <v>16</v>
      </c>
      <c r="D12" s="1" t="s">
        <v>17</v>
      </c>
    </row>
    <row r="13" spans="1:4" x14ac:dyDescent="0.25">
      <c r="A13" s="1" t="s">
        <v>13</v>
      </c>
      <c r="B13" s="5">
        <f>MAX(B2:B12)</f>
        <v>9000</v>
      </c>
      <c r="C13" s="1">
        <f>MATCH(B13,B2:B10,0)</f>
        <v>6</v>
      </c>
      <c r="D13" s="1" t="str" cm="1">
        <f t="array" ref="D13">INDEX(A2:A10,C13)</f>
        <v>Roseli</v>
      </c>
    </row>
    <row r="14" spans="1:4" x14ac:dyDescent="0.25">
      <c r="A14" s="1" t="s">
        <v>14</v>
      </c>
      <c r="B14" s="5">
        <f>MIN(B2:B10)</f>
        <v>750</v>
      </c>
      <c r="C14" s="1">
        <f>MATCH(B14,B2:B10,0)</f>
        <v>4</v>
      </c>
      <c r="D14" s="1" t="str" cm="1">
        <f t="array" ref="D14">INDEX(A2:A10,C14)</f>
        <v>Eneida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BD7B-0ED8-4870-BFC7-F308C8C92A98}">
  <dimension ref="A1:E2"/>
  <sheetViews>
    <sheetView workbookViewId="0">
      <selection activeCell="A15" sqref="A15"/>
    </sheetView>
  </sheetViews>
  <sheetFormatPr defaultRowHeight="15" x14ac:dyDescent="0.25"/>
  <cols>
    <col min="1" max="1" width="15" bestFit="1" customWidth="1"/>
    <col min="3" max="3" width="10.5703125" bestFit="1" customWidth="1"/>
    <col min="4" max="5" width="12.140625" bestFit="1" customWidth="1"/>
  </cols>
  <sheetData>
    <row r="1" spans="1:5" x14ac:dyDescent="0.25">
      <c r="A1" s="6" t="s">
        <v>12</v>
      </c>
      <c r="B1" s="4">
        <v>0</v>
      </c>
      <c r="C1" s="5">
        <v>801</v>
      </c>
      <c r="D1" s="5">
        <v>2000</v>
      </c>
      <c r="E1" s="5">
        <v>4000</v>
      </c>
    </row>
    <row r="2" spans="1:5" x14ac:dyDescent="0.25">
      <c r="A2" s="6" t="s">
        <v>18</v>
      </c>
      <c r="B2" s="1" t="s">
        <v>19</v>
      </c>
      <c r="C2" s="1" t="s">
        <v>20</v>
      </c>
      <c r="D2" s="1" t="s">
        <v>21</v>
      </c>
      <c r="E2" s="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CLASSIFICAÇÃO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2026-03-26T16:08:15Z</dcterms:created>
  <dcterms:modified xsi:type="dcterms:W3CDTF">2026-03-26T16:51:09Z</dcterms:modified>
</cp:coreProperties>
</file>