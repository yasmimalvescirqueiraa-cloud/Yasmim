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50337DD8-6318-493D-B515-5527B16F56E5}" xr6:coauthVersionLast="47" xr6:coauthVersionMax="47" xr10:uidLastSave="{00000000-0000-0000-0000-000000000000}"/>
  <bookViews>
    <workbookView xWindow="-105" yWindow="0" windowWidth="19485" windowHeight="15585" activeTab="3" xr2:uid="{CBC253BF-FFFE-40F7-A5BF-CB213C0D81EE}"/>
  </bookViews>
  <sheets>
    <sheet name="Planilha1 (2)" sheetId="3" r:id="rId1"/>
    <sheet name="Planilha 2" sheetId="1" r:id="rId2"/>
    <sheet name="Planilha 3" sheetId="5" r:id="rId3"/>
    <sheet name="Planilha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6" l="1"/>
  <c r="B18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E21" i="5"/>
  <c r="E20" i="5"/>
  <c r="E19" i="5"/>
  <c r="B21" i="5"/>
  <c r="B20" i="5"/>
  <c r="B19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B4" i="5"/>
  <c r="B16" i="5"/>
  <c r="B15" i="5"/>
  <c r="B14" i="5"/>
  <c r="B13" i="5"/>
  <c r="B12" i="5"/>
  <c r="B10" i="5"/>
  <c r="B11" i="5"/>
  <c r="B9" i="5"/>
  <c r="B8" i="5"/>
  <c r="B7" i="5"/>
  <c r="B6" i="5"/>
  <c r="B5" i="5"/>
  <c r="F9" i="3"/>
  <c r="F16" i="3"/>
  <c r="F15" i="3"/>
  <c r="F14" i="3"/>
  <c r="F13" i="3"/>
  <c r="F12" i="3"/>
  <c r="F11" i="3"/>
  <c r="F10" i="3"/>
  <c r="F8" i="3"/>
  <c r="F7" i="3"/>
  <c r="F6" i="3"/>
  <c r="F5" i="3"/>
  <c r="F4" i="3"/>
  <c r="F5" i="1"/>
  <c r="F6" i="1"/>
  <c r="F7" i="1"/>
  <c r="F8" i="1"/>
  <c r="F9" i="1"/>
  <c r="F10" i="1"/>
  <c r="F11" i="1"/>
  <c r="F12" i="1"/>
  <c r="F13" i="1"/>
  <c r="F14" i="1"/>
  <c r="F15" i="1"/>
  <c r="F16" i="1"/>
  <c r="F4" i="1"/>
</calcChain>
</file>

<file path=xl/sharedStrings.xml><?xml version="1.0" encoding="utf-8"?>
<sst xmlns="http://schemas.openxmlformats.org/spreadsheetml/2006/main" count="93" uniqueCount="62">
  <si>
    <t>Controle de Faltas</t>
  </si>
  <si>
    <t>3o. Bime4stre</t>
  </si>
  <si>
    <t>4o. Bime4stre</t>
  </si>
  <si>
    <t>2o. Bime4stre</t>
  </si>
  <si>
    <t>1o. Bime4stre</t>
  </si>
  <si>
    <t>Total</t>
  </si>
  <si>
    <t>André Pinheiro</t>
  </si>
  <si>
    <t>Daniel Mendes Rodrigues</t>
  </si>
  <si>
    <t>Davi Pereira da Silva</t>
  </si>
  <si>
    <t>José Nelson de Araújo</t>
  </si>
  <si>
    <t>Lucas Camargo</t>
  </si>
  <si>
    <t>Luis Enrico Pereira</t>
  </si>
  <si>
    <t>Luis Gabriel Santos</t>
  </si>
  <si>
    <t>Marcelo de Carvalho</t>
  </si>
  <si>
    <t>Mariana Ferreira Mendonça</t>
  </si>
  <si>
    <t>Pedro Ricardo Martelli</t>
  </si>
  <si>
    <t>Simone Ferla</t>
  </si>
  <si>
    <t>Danilo Freitas</t>
  </si>
  <si>
    <t>Márcia de Oliveira</t>
  </si>
  <si>
    <t>andréa Pereira Nunes</t>
  </si>
  <si>
    <t>Beatriz Gonçalves</t>
  </si>
  <si>
    <t>Carlos Menezes</t>
  </si>
  <si>
    <t>Daniele Ferreira</t>
  </si>
  <si>
    <t>fábio Fernando Fernandez</t>
  </si>
  <si>
    <t>Lauro Forte</t>
  </si>
  <si>
    <t>Miguel Candiz</t>
  </si>
  <si>
    <t>Paula Silva</t>
  </si>
  <si>
    <t>Rafael Franzino</t>
  </si>
  <si>
    <t>Rosimeire Souza</t>
  </si>
  <si>
    <t>Tarcilia Bittencourt</t>
  </si>
  <si>
    <t>Tania Barione</t>
  </si>
  <si>
    <t>Verônica Damasceno</t>
  </si>
  <si>
    <t>Controle De Faltas</t>
  </si>
  <si>
    <t>Turma A</t>
  </si>
  <si>
    <t>Maior Número d Faltas</t>
  </si>
  <si>
    <t>Menor Número de Faltas</t>
  </si>
  <si>
    <t>Média da Turma</t>
  </si>
  <si>
    <t>Turma B</t>
  </si>
  <si>
    <t>Andréa Pereira Nunes</t>
  </si>
  <si>
    <t>Beatriz Gonçalvez</t>
  </si>
  <si>
    <t>Fábio Fernando Fernandez</t>
  </si>
  <si>
    <t>Maior Número de Faltas</t>
  </si>
  <si>
    <t>Média da turma</t>
  </si>
  <si>
    <t>Avaliação e Trabalho de Geografia</t>
  </si>
  <si>
    <t>Alunos</t>
  </si>
  <si>
    <t>Nota da Prova Unificada</t>
  </si>
  <si>
    <t>Nota do Trabalho</t>
  </si>
  <si>
    <t>Média</t>
  </si>
  <si>
    <t>Antonietta Palladino</t>
  </si>
  <si>
    <t>Aroldo Ezequiel</t>
  </si>
  <si>
    <t>Aureo Gody</t>
  </si>
  <si>
    <t>Geni Paes</t>
  </si>
  <si>
    <t>Jose Nelson</t>
  </si>
  <si>
    <t>Lilian Rodrigues</t>
  </si>
  <si>
    <t>Márcia Beatriz</t>
  </si>
  <si>
    <t>Márcia de Camargo</t>
  </si>
  <si>
    <t>Pedro Ricardo</t>
  </si>
  <si>
    <t>Rosalina Ferla</t>
  </si>
  <si>
    <t>Silvia Regina</t>
  </si>
  <si>
    <t>Telma Godoy</t>
  </si>
  <si>
    <t>Maior Média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</si>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</sst>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/>
    <xf numFmtId="0" fontId="4" fillId="0" borderId="0" xfId="0" applyFont="1" applyAlignment="1">
      <alignment horizont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2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9900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F488-253F-4DDC-9E0A-D9DA40512794}">
  <dimension ref="A1:F16"/>
  <sheetViews>
    <sheetView workbookViewId="0">
      <selection activeCell="F9" sqref="F9"/>
    </sheetView>
  </sheetViews>
  <sheetFormatPr defaultRowHeight="15" x14ac:dyDescent="0.25"/>
  <cols>
    <col min="1" max="1" width="24.7109375" customWidth="1"/>
    <col min="2" max="6" width="15.28515625" customWidth="1"/>
  </cols>
  <sheetData>
    <row r="1" spans="1:6" ht="23.25" x14ac:dyDescent="0.25">
      <c r="A1" s="3" t="s">
        <v>0</v>
      </c>
      <c r="B1" s="2"/>
      <c r="C1" s="2"/>
      <c r="D1" s="2"/>
      <c r="E1" s="2"/>
      <c r="F1" s="2"/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4"/>
      <c r="B3" s="5" t="s">
        <v>4</v>
      </c>
      <c r="C3" s="5" t="s">
        <v>3</v>
      </c>
      <c r="D3" s="5" t="s">
        <v>1</v>
      </c>
      <c r="E3" s="5" t="s">
        <v>2</v>
      </c>
      <c r="F3" s="5" t="s">
        <v>5</v>
      </c>
    </row>
    <row r="4" spans="1:6" x14ac:dyDescent="0.25">
      <c r="A4" s="4" t="s">
        <v>6</v>
      </c>
      <c r="B4" s="5">
        <v>5</v>
      </c>
      <c r="C4" s="5">
        <v>3</v>
      </c>
      <c r="D4" s="5">
        <v>0</v>
      </c>
      <c r="E4" s="5">
        <v>3</v>
      </c>
      <c r="F4" s="6">
        <f>SUM(B4:E4)</f>
        <v>11</v>
      </c>
    </row>
    <row r="5" spans="1:6" x14ac:dyDescent="0.25">
      <c r="A5" s="4" t="s">
        <v>7</v>
      </c>
      <c r="B5" s="5">
        <v>2</v>
      </c>
      <c r="C5" s="5">
        <v>0</v>
      </c>
      <c r="D5" s="5">
        <v>0</v>
      </c>
      <c r="E5" s="5">
        <v>4</v>
      </c>
      <c r="F5" s="6">
        <f t="shared" ref="F5:F16" si="0">SUM(B5:E5)</f>
        <v>6</v>
      </c>
    </row>
    <row r="6" spans="1:6" x14ac:dyDescent="0.25">
      <c r="A6" s="4" t="s">
        <v>8</v>
      </c>
      <c r="B6" s="5">
        <v>6</v>
      </c>
      <c r="C6" s="5">
        <v>0</v>
      </c>
      <c r="D6" s="5">
        <v>0</v>
      </c>
      <c r="E6" s="5">
        <v>0</v>
      </c>
      <c r="F6" s="6">
        <f t="shared" si="0"/>
        <v>6</v>
      </c>
    </row>
    <row r="7" spans="1:6" x14ac:dyDescent="0.25">
      <c r="A7" s="4" t="s">
        <v>9</v>
      </c>
      <c r="B7" s="5">
        <v>0</v>
      </c>
      <c r="C7" s="5">
        <v>0</v>
      </c>
      <c r="D7" s="5">
        <v>3</v>
      </c>
      <c r="E7" s="5">
        <v>0</v>
      </c>
      <c r="F7" s="6">
        <f t="shared" si="0"/>
        <v>3</v>
      </c>
    </row>
    <row r="8" spans="1:6" x14ac:dyDescent="0.25">
      <c r="A8" s="4" t="s">
        <v>10</v>
      </c>
      <c r="B8" s="5">
        <v>4</v>
      </c>
      <c r="C8" s="5">
        <v>3</v>
      </c>
      <c r="D8" s="5">
        <v>1</v>
      </c>
      <c r="E8" s="5">
        <v>0</v>
      </c>
      <c r="F8" s="6">
        <f t="shared" si="0"/>
        <v>8</v>
      </c>
    </row>
    <row r="9" spans="1:6" x14ac:dyDescent="0.25">
      <c r="A9" s="4" t="s">
        <v>11</v>
      </c>
      <c r="B9" s="5">
        <v>3</v>
      </c>
      <c r="C9" s="5">
        <v>2</v>
      </c>
      <c r="D9" s="5">
        <v>5</v>
      </c>
      <c r="E9" s="5">
        <v>2</v>
      </c>
      <c r="F9" s="6">
        <f>SUM(B9:E9)</f>
        <v>12</v>
      </c>
    </row>
    <row r="10" spans="1:6" x14ac:dyDescent="0.25">
      <c r="A10" s="4" t="s">
        <v>12</v>
      </c>
      <c r="B10" s="5">
        <v>2</v>
      </c>
      <c r="C10" s="5">
        <v>0</v>
      </c>
      <c r="D10" s="5">
        <v>0</v>
      </c>
      <c r="E10" s="5">
        <v>3</v>
      </c>
      <c r="F10" s="6">
        <f t="shared" si="0"/>
        <v>5</v>
      </c>
    </row>
    <row r="11" spans="1:6" x14ac:dyDescent="0.25">
      <c r="A11" s="4" t="s">
        <v>13</v>
      </c>
      <c r="B11" s="5">
        <v>0</v>
      </c>
      <c r="C11" s="5">
        <v>0</v>
      </c>
      <c r="D11" s="5">
        <v>0</v>
      </c>
      <c r="E11" s="5">
        <v>0</v>
      </c>
      <c r="F11" s="6">
        <f t="shared" si="0"/>
        <v>0</v>
      </c>
    </row>
    <row r="12" spans="1:6" x14ac:dyDescent="0.25">
      <c r="A12" s="4" t="s">
        <v>14</v>
      </c>
      <c r="B12" s="5">
        <v>4</v>
      </c>
      <c r="C12" s="5">
        <v>7</v>
      </c>
      <c r="D12" s="5">
        <v>5</v>
      </c>
      <c r="E12" s="5">
        <v>6</v>
      </c>
      <c r="F12" s="6">
        <f t="shared" si="0"/>
        <v>22</v>
      </c>
    </row>
    <row r="13" spans="1:6" x14ac:dyDescent="0.25">
      <c r="A13" s="4" t="s">
        <v>15</v>
      </c>
      <c r="B13" s="5">
        <v>2</v>
      </c>
      <c r="C13" s="5">
        <v>2</v>
      </c>
      <c r="D13" s="5">
        <v>6</v>
      </c>
      <c r="E13" s="5">
        <v>0</v>
      </c>
      <c r="F13" s="6">
        <f t="shared" si="0"/>
        <v>10</v>
      </c>
    </row>
    <row r="14" spans="1:6" x14ac:dyDescent="0.25">
      <c r="A14" s="4" t="s">
        <v>16</v>
      </c>
      <c r="B14" s="5">
        <v>2</v>
      </c>
      <c r="C14" s="5">
        <v>2</v>
      </c>
      <c r="D14" s="5">
        <v>2</v>
      </c>
      <c r="E14" s="5">
        <v>2</v>
      </c>
      <c r="F14" s="6">
        <f t="shared" si="0"/>
        <v>8</v>
      </c>
    </row>
    <row r="15" spans="1:6" x14ac:dyDescent="0.25">
      <c r="A15" s="4" t="s">
        <v>17</v>
      </c>
      <c r="B15" s="5">
        <v>6</v>
      </c>
      <c r="C15" s="5">
        <v>4</v>
      </c>
      <c r="D15" s="5">
        <v>3</v>
      </c>
      <c r="E15" s="5">
        <v>3</v>
      </c>
      <c r="F15" s="6">
        <f t="shared" si="0"/>
        <v>16</v>
      </c>
    </row>
    <row r="16" spans="1:6" x14ac:dyDescent="0.25">
      <c r="A16" s="4" t="s">
        <v>18</v>
      </c>
      <c r="B16" s="5">
        <v>9</v>
      </c>
      <c r="C16" s="5">
        <v>0</v>
      </c>
      <c r="D16" s="5">
        <v>6</v>
      </c>
      <c r="E16" s="5">
        <v>3</v>
      </c>
      <c r="F16" s="6">
        <f t="shared" si="0"/>
        <v>18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D8E8-4B06-4B46-B83B-967048D55AAF}">
  <dimension ref="A1:F16"/>
  <sheetViews>
    <sheetView workbookViewId="0">
      <selection activeCell="E17" sqref="E17"/>
    </sheetView>
  </sheetViews>
  <sheetFormatPr defaultRowHeight="15" x14ac:dyDescent="0.25"/>
  <cols>
    <col min="1" max="1" width="24.7109375" customWidth="1"/>
    <col min="2" max="6" width="15.28515625" customWidth="1"/>
  </cols>
  <sheetData>
    <row r="1" spans="1:6" ht="23.25" x14ac:dyDescent="0.25">
      <c r="A1" s="7" t="s">
        <v>0</v>
      </c>
      <c r="B1" s="8"/>
      <c r="C1" s="8"/>
      <c r="D1" s="8"/>
      <c r="E1" s="8"/>
      <c r="F1" s="8"/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4"/>
      <c r="B3" s="5" t="s">
        <v>4</v>
      </c>
      <c r="C3" s="5" t="s">
        <v>3</v>
      </c>
      <c r="D3" s="5" t="s">
        <v>1</v>
      </c>
      <c r="E3" s="5" t="s">
        <v>2</v>
      </c>
      <c r="F3" s="5" t="s">
        <v>5</v>
      </c>
    </row>
    <row r="4" spans="1:6" x14ac:dyDescent="0.25">
      <c r="A4" s="4" t="s">
        <v>19</v>
      </c>
      <c r="B4" s="5">
        <v>1</v>
      </c>
      <c r="C4" s="5">
        <v>1</v>
      </c>
      <c r="D4" s="5">
        <v>3</v>
      </c>
      <c r="E4" s="5">
        <v>2</v>
      </c>
      <c r="F4" s="9">
        <f>SUM(B4:E4)</f>
        <v>7</v>
      </c>
    </row>
    <row r="5" spans="1:6" x14ac:dyDescent="0.25">
      <c r="A5" s="4" t="s">
        <v>20</v>
      </c>
      <c r="B5" s="5">
        <v>1</v>
      </c>
      <c r="C5" s="5">
        <v>2</v>
      </c>
      <c r="D5" s="5">
        <v>0</v>
      </c>
      <c r="E5" s="5">
        <v>0</v>
      </c>
      <c r="F5" s="9">
        <f t="shared" ref="F5:F16" si="0">SUM(B5:E5)</f>
        <v>3</v>
      </c>
    </row>
    <row r="6" spans="1:6" x14ac:dyDescent="0.25">
      <c r="A6" s="4" t="s">
        <v>21</v>
      </c>
      <c r="B6" s="5">
        <v>2</v>
      </c>
      <c r="C6" s="5">
        <v>2</v>
      </c>
      <c r="D6" s="5">
        <v>0</v>
      </c>
      <c r="E6" s="5">
        <v>2</v>
      </c>
      <c r="F6" s="9">
        <f t="shared" si="0"/>
        <v>6</v>
      </c>
    </row>
    <row r="7" spans="1:6" x14ac:dyDescent="0.25">
      <c r="A7" s="4" t="s">
        <v>22</v>
      </c>
      <c r="B7" s="5">
        <v>3</v>
      </c>
      <c r="C7" s="5">
        <v>0</v>
      </c>
      <c r="D7" s="5">
        <v>2</v>
      </c>
      <c r="E7" s="5">
        <v>3</v>
      </c>
      <c r="F7" s="9">
        <f t="shared" si="0"/>
        <v>8</v>
      </c>
    </row>
    <row r="8" spans="1:6" x14ac:dyDescent="0.25">
      <c r="A8" s="4" t="s">
        <v>23</v>
      </c>
      <c r="B8" s="5">
        <v>4</v>
      </c>
      <c r="C8" s="5">
        <v>3</v>
      </c>
      <c r="D8" s="5">
        <v>2</v>
      </c>
      <c r="E8" s="5">
        <v>4</v>
      </c>
      <c r="F8" s="9">
        <f t="shared" si="0"/>
        <v>13</v>
      </c>
    </row>
    <row r="9" spans="1:6" x14ac:dyDescent="0.25">
      <c r="A9" s="4" t="s">
        <v>24</v>
      </c>
      <c r="B9" s="5">
        <v>0</v>
      </c>
      <c r="C9" s="5">
        <v>0</v>
      </c>
      <c r="D9" s="5">
        <v>3</v>
      </c>
      <c r="E9" s="5">
        <v>3</v>
      </c>
      <c r="F9" s="9">
        <f t="shared" si="0"/>
        <v>6</v>
      </c>
    </row>
    <row r="10" spans="1:6" x14ac:dyDescent="0.25">
      <c r="A10" s="4" t="s">
        <v>25</v>
      </c>
      <c r="B10" s="5">
        <v>3</v>
      </c>
      <c r="C10" s="5">
        <v>5</v>
      </c>
      <c r="D10" s="5">
        <v>2</v>
      </c>
      <c r="E10" s="5">
        <v>4</v>
      </c>
      <c r="F10" s="9">
        <f t="shared" si="0"/>
        <v>14</v>
      </c>
    </row>
    <row r="11" spans="1:6" x14ac:dyDescent="0.25">
      <c r="A11" s="4" t="s">
        <v>26</v>
      </c>
      <c r="B11" s="5">
        <v>0</v>
      </c>
      <c r="C11" s="5">
        <v>0</v>
      </c>
      <c r="D11" s="5">
        <v>0</v>
      </c>
      <c r="E11" s="5">
        <v>0</v>
      </c>
      <c r="F11" s="9">
        <f t="shared" si="0"/>
        <v>0</v>
      </c>
    </row>
    <row r="12" spans="1:6" x14ac:dyDescent="0.25">
      <c r="A12" s="4" t="s">
        <v>27</v>
      </c>
      <c r="B12" s="5">
        <v>0</v>
      </c>
      <c r="C12" s="5">
        <v>0</v>
      </c>
      <c r="D12" s="5">
        <v>0</v>
      </c>
      <c r="E12" s="5">
        <v>4</v>
      </c>
      <c r="F12" s="9">
        <f t="shared" si="0"/>
        <v>4</v>
      </c>
    </row>
    <row r="13" spans="1:6" x14ac:dyDescent="0.25">
      <c r="A13" s="4" t="s">
        <v>28</v>
      </c>
      <c r="B13" s="5">
        <v>1</v>
      </c>
      <c r="C13" s="5">
        <v>1</v>
      </c>
      <c r="D13" s="5">
        <v>0</v>
      </c>
      <c r="E13" s="5">
        <v>1</v>
      </c>
      <c r="F13" s="9">
        <f t="shared" si="0"/>
        <v>3</v>
      </c>
    </row>
    <row r="14" spans="1:6" x14ac:dyDescent="0.25">
      <c r="A14" s="4" t="s">
        <v>29</v>
      </c>
      <c r="B14" s="5">
        <v>2</v>
      </c>
      <c r="C14" s="5">
        <v>1</v>
      </c>
      <c r="D14" s="5">
        <v>3</v>
      </c>
      <c r="E14" s="5">
        <v>0</v>
      </c>
      <c r="F14" s="9">
        <f t="shared" si="0"/>
        <v>6</v>
      </c>
    </row>
    <row r="15" spans="1:6" x14ac:dyDescent="0.25">
      <c r="A15" s="4" t="s">
        <v>30</v>
      </c>
      <c r="B15" s="5">
        <v>3</v>
      </c>
      <c r="C15" s="5">
        <v>5</v>
      </c>
      <c r="D15" s="5">
        <v>0</v>
      </c>
      <c r="E15" s="5">
        <v>0</v>
      </c>
      <c r="F15" s="9">
        <f t="shared" si="0"/>
        <v>8</v>
      </c>
    </row>
    <row r="16" spans="1:6" x14ac:dyDescent="0.25">
      <c r="A16" s="4" t="s">
        <v>31</v>
      </c>
      <c r="B16" s="5">
        <v>2</v>
      </c>
      <c r="C16" s="5">
        <v>0</v>
      </c>
      <c r="D16" s="5">
        <v>2</v>
      </c>
      <c r="E16" s="5">
        <v>3</v>
      </c>
      <c r="F16" s="9">
        <f t="shared" si="0"/>
        <v>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E326-0DDA-4270-99AB-FE8B4FA25F03}">
  <dimension ref="A1:E21"/>
  <sheetViews>
    <sheetView workbookViewId="0">
      <selection activeCell="E19" sqref="E19:E21"/>
    </sheetView>
  </sheetViews>
  <sheetFormatPr defaultRowHeight="15" x14ac:dyDescent="0.25"/>
  <cols>
    <col min="1" max="1" width="25.85546875" customWidth="1"/>
    <col min="2" max="2" width="11.28515625" customWidth="1"/>
    <col min="4" max="4" width="24" customWidth="1"/>
  </cols>
  <sheetData>
    <row r="1" spans="1:5" ht="23.25" x14ac:dyDescent="0.25">
      <c r="A1" s="10" t="s">
        <v>32</v>
      </c>
      <c r="B1" s="10"/>
      <c r="C1" s="10"/>
      <c r="D1" s="10"/>
      <c r="E1" s="10"/>
    </row>
    <row r="3" spans="1:5" x14ac:dyDescent="0.25">
      <c r="A3" s="11" t="s">
        <v>33</v>
      </c>
      <c r="B3" s="11"/>
      <c r="D3" s="12" t="s">
        <v>37</v>
      </c>
      <c r="E3" s="12"/>
    </row>
    <row r="4" spans="1:5" x14ac:dyDescent="0.25">
      <c r="A4" s="4" t="s">
        <v>6</v>
      </c>
      <c r="B4" s="13">
        <f>'Planilha1 (2)'!F4</f>
        <v>11</v>
      </c>
      <c r="D4" s="4" t="s">
        <v>38</v>
      </c>
      <c r="E4" s="13">
        <f>'Planilha 2'!F4</f>
        <v>7</v>
      </c>
    </row>
    <row r="5" spans="1:5" x14ac:dyDescent="0.25">
      <c r="A5" s="4" t="s">
        <v>7</v>
      </c>
      <c r="B5" s="13">
        <f>'Planilha1 (2)'!F5</f>
        <v>6</v>
      </c>
      <c r="D5" s="4" t="s">
        <v>39</v>
      </c>
      <c r="E5" s="13">
        <f>'Planilha 2'!F5</f>
        <v>3</v>
      </c>
    </row>
    <row r="6" spans="1:5" x14ac:dyDescent="0.25">
      <c r="A6" s="4" t="s">
        <v>7</v>
      </c>
      <c r="B6" s="13">
        <f>'Planilha1 (2)'!F6</f>
        <v>6</v>
      </c>
      <c r="D6" s="4" t="s">
        <v>21</v>
      </c>
      <c r="E6" s="13">
        <f>'Planilha 2'!F6</f>
        <v>6</v>
      </c>
    </row>
    <row r="7" spans="1:5" x14ac:dyDescent="0.25">
      <c r="A7" s="4" t="s">
        <v>9</v>
      </c>
      <c r="B7" s="13">
        <f>'Planilha1 (2)'!F7</f>
        <v>3</v>
      </c>
      <c r="D7" s="4" t="s">
        <v>22</v>
      </c>
      <c r="E7" s="13">
        <f>'Planilha 2'!F7</f>
        <v>8</v>
      </c>
    </row>
    <row r="8" spans="1:5" x14ac:dyDescent="0.25">
      <c r="A8" s="4" t="s">
        <v>10</v>
      </c>
      <c r="B8" s="13">
        <f>'Planilha1 (2)'!F8</f>
        <v>8</v>
      </c>
      <c r="D8" s="4" t="s">
        <v>40</v>
      </c>
      <c r="E8" s="13">
        <f>'Planilha 2'!F8</f>
        <v>13</v>
      </c>
    </row>
    <row r="9" spans="1:5" x14ac:dyDescent="0.25">
      <c r="A9" s="4" t="s">
        <v>11</v>
      </c>
      <c r="B9" s="13">
        <f>'Planilha1 (2)'!F9</f>
        <v>12</v>
      </c>
      <c r="D9" s="4" t="s">
        <v>24</v>
      </c>
      <c r="E9" s="13">
        <f>'Planilha 2'!F9</f>
        <v>6</v>
      </c>
    </row>
    <row r="10" spans="1:5" x14ac:dyDescent="0.25">
      <c r="A10" s="4" t="s">
        <v>12</v>
      </c>
      <c r="B10" s="13">
        <f>'Planilha1 (2)'!F10</f>
        <v>5</v>
      </c>
      <c r="D10" s="4" t="s">
        <v>25</v>
      </c>
      <c r="E10" s="13">
        <f>'Planilha 2'!F10</f>
        <v>14</v>
      </c>
    </row>
    <row r="11" spans="1:5" x14ac:dyDescent="0.25">
      <c r="A11" s="4" t="s">
        <v>13</v>
      </c>
      <c r="B11" s="13">
        <f>'Planilha1 (2)'!F11</f>
        <v>0</v>
      </c>
      <c r="D11" s="4" t="s">
        <v>26</v>
      </c>
      <c r="E11" s="13">
        <f>'Planilha 2'!F11</f>
        <v>0</v>
      </c>
    </row>
    <row r="12" spans="1:5" x14ac:dyDescent="0.25">
      <c r="A12" s="4" t="s">
        <v>14</v>
      </c>
      <c r="B12" s="13">
        <f>'Planilha1 (2)'!F12</f>
        <v>22</v>
      </c>
      <c r="D12" s="4" t="s">
        <v>27</v>
      </c>
      <c r="E12" s="13">
        <f>'Planilha 2'!F12</f>
        <v>4</v>
      </c>
    </row>
    <row r="13" spans="1:5" x14ac:dyDescent="0.25">
      <c r="A13" s="4" t="s">
        <v>15</v>
      </c>
      <c r="B13" s="13">
        <f>'Planilha1 (2)'!F13</f>
        <v>10</v>
      </c>
      <c r="D13" s="4" t="s">
        <v>28</v>
      </c>
      <c r="E13" s="13">
        <f>'Planilha 2'!F13</f>
        <v>3</v>
      </c>
    </row>
    <row r="14" spans="1:5" x14ac:dyDescent="0.25">
      <c r="A14" s="4" t="s">
        <v>16</v>
      </c>
      <c r="B14" s="13">
        <f>'Planilha1 (2)'!F14</f>
        <v>8</v>
      </c>
      <c r="D14" s="4" t="s">
        <v>29</v>
      </c>
      <c r="E14" s="13">
        <f>'Planilha 2'!F14</f>
        <v>6</v>
      </c>
    </row>
    <row r="15" spans="1:5" x14ac:dyDescent="0.25">
      <c r="A15" s="4" t="s">
        <v>17</v>
      </c>
      <c r="B15" s="13">
        <f>'Planilha1 (2)'!F15</f>
        <v>16</v>
      </c>
      <c r="D15" s="4" t="s">
        <v>30</v>
      </c>
      <c r="E15" s="13">
        <f>'Planilha 2'!F15</f>
        <v>8</v>
      </c>
    </row>
    <row r="16" spans="1:5" x14ac:dyDescent="0.25">
      <c r="A16" s="4" t="s">
        <v>18</v>
      </c>
      <c r="B16" s="13">
        <f>'Planilha1 (2)'!F16</f>
        <v>18</v>
      </c>
      <c r="D16" s="4" t="s">
        <v>31</v>
      </c>
      <c r="E16" s="13">
        <f>'Planilha 2'!F16</f>
        <v>7</v>
      </c>
    </row>
    <row r="19" spans="1:5" x14ac:dyDescent="0.25">
      <c r="A19" s="4" t="s">
        <v>34</v>
      </c>
      <c r="B19" s="13">
        <f>MAX(B4:B18)</f>
        <v>22</v>
      </c>
      <c r="D19" s="4" t="s">
        <v>41</v>
      </c>
      <c r="E19" s="13">
        <f>MAX(E4:E18)</f>
        <v>14</v>
      </c>
    </row>
    <row r="20" spans="1:5" x14ac:dyDescent="0.25">
      <c r="A20" s="4" t="s">
        <v>35</v>
      </c>
      <c r="B20" s="13">
        <f>MIN(B4:B16)</f>
        <v>0</v>
      </c>
      <c r="D20" s="4" t="s">
        <v>35</v>
      </c>
      <c r="E20" s="13">
        <f>MIN(E4:E16)</f>
        <v>0</v>
      </c>
    </row>
    <row r="21" spans="1:5" x14ac:dyDescent="0.25">
      <c r="A21" s="4" t="s">
        <v>36</v>
      </c>
      <c r="B21" s="14">
        <f>AVERAGE(B4:B16)</f>
        <v>9.615384615384615</v>
      </c>
      <c r="D21" s="4" t="s">
        <v>42</v>
      </c>
      <c r="E21" s="14">
        <f>AVERAGE(E4:E16)</f>
        <v>6.5384615384615383</v>
      </c>
    </row>
  </sheetData>
  <mergeCells count="3">
    <mergeCell ref="A1:E1"/>
    <mergeCell ref="A3:B3"/>
    <mergeCell ref="D3:E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8C4F-DDEF-4F25-B45A-D5607F532E2E}">
  <dimension ref="A1:E19"/>
  <sheetViews>
    <sheetView tabSelected="1" workbookViewId="0">
      <selection activeCell="G6" sqref="G6"/>
    </sheetView>
  </sheetViews>
  <sheetFormatPr defaultRowHeight="15" x14ac:dyDescent="0.25"/>
  <cols>
    <col min="1" max="1" width="20.42578125" customWidth="1"/>
    <col min="2" max="2" width="21.140625" customWidth="1"/>
    <col min="3" max="3" width="18" customWidth="1"/>
  </cols>
  <sheetData>
    <row r="1" spans="1:5" ht="15.75" x14ac:dyDescent="0.25">
      <c r="A1" s="15" t="s">
        <v>43</v>
      </c>
      <c r="B1" s="1"/>
      <c r="C1" s="1"/>
      <c r="D1" s="1"/>
    </row>
    <row r="3" spans="1:5" ht="30" x14ac:dyDescent="0.25">
      <c r="A3" s="16" t="s">
        <v>44</v>
      </c>
      <c r="B3" s="17" t="s">
        <v>45</v>
      </c>
      <c r="C3" s="18" t="s">
        <v>46</v>
      </c>
      <c r="D3" s="18" t="s">
        <v>47</v>
      </c>
      <c r="E3" s="19"/>
    </row>
    <row r="4" spans="1:5" x14ac:dyDescent="0.25">
      <c r="A4" s="4" t="s">
        <v>48</v>
      </c>
      <c r="B4" s="5">
        <v>7</v>
      </c>
      <c r="C4" s="5">
        <v>7.5</v>
      </c>
      <c r="D4" s="9">
        <f>AVERAGE(B4:C4)</f>
        <v>7.25</v>
      </c>
      <c r="E4" s="19"/>
    </row>
    <row r="5" spans="1:5" x14ac:dyDescent="0.25">
      <c r="A5" s="4" t="s">
        <v>49</v>
      </c>
      <c r="B5" s="5">
        <v>6.5</v>
      </c>
      <c r="C5" s="5">
        <v>8.5</v>
      </c>
      <c r="D5" s="21">
        <f>AVERAGE(B5:C5)</f>
        <v>7.5</v>
      </c>
      <c r="E5" s="19"/>
    </row>
    <row r="6" spans="1:5" x14ac:dyDescent="0.25">
      <c r="A6" s="4" t="s">
        <v>50</v>
      </c>
      <c r="B6" s="5">
        <v>8.25</v>
      </c>
      <c r="C6" s="5">
        <v>7</v>
      </c>
      <c r="D6" s="21">
        <f>AVERAGE(B6:C6)</f>
        <v>7.625</v>
      </c>
      <c r="E6" s="19"/>
    </row>
    <row r="7" spans="1:5" x14ac:dyDescent="0.25">
      <c r="A7" s="4" t="s">
        <v>51</v>
      </c>
      <c r="B7" s="5">
        <v>9</v>
      </c>
      <c r="C7" s="5">
        <v>8</v>
      </c>
      <c r="D7" s="21">
        <f>AVERAGE(B7:C7)</f>
        <v>8.5</v>
      </c>
      <c r="E7" s="19"/>
    </row>
    <row r="8" spans="1:5" x14ac:dyDescent="0.25">
      <c r="A8" s="4" t="s">
        <v>52</v>
      </c>
      <c r="B8" s="5">
        <v>6.5</v>
      </c>
      <c r="C8" s="5">
        <v>7.5</v>
      </c>
      <c r="D8" s="21">
        <f>AVERAGE(B8:C8)</f>
        <v>7</v>
      </c>
      <c r="E8" s="19"/>
    </row>
    <row r="9" spans="1:5" x14ac:dyDescent="0.25">
      <c r="A9" s="4" t="s">
        <v>53</v>
      </c>
      <c r="B9" s="5">
        <v>8.75</v>
      </c>
      <c r="C9" s="5">
        <v>6</v>
      </c>
      <c r="D9" s="21">
        <f>AVERAGE(B9:C9)</f>
        <v>7.375</v>
      </c>
      <c r="E9" s="19"/>
    </row>
    <row r="10" spans="1:5" x14ac:dyDescent="0.25">
      <c r="A10" s="4" t="s">
        <v>10</v>
      </c>
      <c r="B10" s="5">
        <v>5</v>
      </c>
      <c r="C10" s="5">
        <v>8</v>
      </c>
      <c r="D10" s="21">
        <f>AVERAGE(B10:C10)</f>
        <v>6.5</v>
      </c>
      <c r="E10" s="19"/>
    </row>
    <row r="11" spans="1:5" x14ac:dyDescent="0.25">
      <c r="A11" s="4" t="s">
        <v>54</v>
      </c>
      <c r="B11" s="5">
        <v>5.75</v>
      </c>
      <c r="C11" s="5">
        <v>6.5</v>
      </c>
      <c r="D11" s="21">
        <f>AVERAGE(B11:C11)</f>
        <v>6.125</v>
      </c>
      <c r="E11" s="19"/>
    </row>
    <row r="12" spans="1:5" x14ac:dyDescent="0.25">
      <c r="A12" s="4" t="s">
        <v>55</v>
      </c>
      <c r="B12" s="5">
        <v>7</v>
      </c>
      <c r="C12" s="5">
        <v>8.25</v>
      </c>
      <c r="D12" s="21">
        <f>AVERAGE(B12:C12)</f>
        <v>7.625</v>
      </c>
      <c r="E12" s="19"/>
    </row>
    <row r="13" spans="1:5" x14ac:dyDescent="0.25">
      <c r="A13" s="4" t="s">
        <v>56</v>
      </c>
      <c r="B13" s="5">
        <v>7.5</v>
      </c>
      <c r="C13" s="5">
        <v>7.5</v>
      </c>
      <c r="D13" s="21">
        <f>AVERAGE(B13:C13)</f>
        <v>7.5</v>
      </c>
      <c r="E13" s="19"/>
    </row>
    <row r="14" spans="1:5" x14ac:dyDescent="0.25">
      <c r="A14" s="4" t="s">
        <v>57</v>
      </c>
      <c r="B14" s="5">
        <v>5</v>
      </c>
      <c r="C14" s="5">
        <v>9.5</v>
      </c>
      <c r="D14" s="9">
        <f>AVERAGE(B14:C14)</f>
        <v>7.25</v>
      </c>
      <c r="E14" s="19"/>
    </row>
    <row r="15" spans="1:5" x14ac:dyDescent="0.25">
      <c r="A15" s="4" t="s">
        <v>58</v>
      </c>
      <c r="B15" s="5">
        <v>10</v>
      </c>
      <c r="C15" s="5">
        <v>8</v>
      </c>
      <c r="D15" s="21">
        <f>AVERAGE(B15:C15)</f>
        <v>9</v>
      </c>
      <c r="E15" s="19"/>
    </row>
    <row r="16" spans="1:5" x14ac:dyDescent="0.25">
      <c r="A16" s="20" t="s">
        <v>59</v>
      </c>
      <c r="B16" s="5">
        <v>8.5</v>
      </c>
      <c r="C16" s="5">
        <v>8</v>
      </c>
      <c r="D16" s="22">
        <f>AVERAGE(B16:C16)</f>
        <v>8.25</v>
      </c>
      <c r="E16" s="19"/>
    </row>
    <row r="17" spans="1:5" x14ac:dyDescent="0.25">
      <c r="A17" s="19"/>
      <c r="B17" s="19"/>
      <c r="C17" s="19"/>
      <c r="D17" s="19"/>
      <c r="E17" s="19"/>
    </row>
    <row r="18" spans="1:5" x14ac:dyDescent="0.25">
      <c r="A18" s="4" t="s">
        <v>60</v>
      </c>
      <c r="B18" s="23">
        <f>MAX(D4:D16)</f>
        <v>9</v>
      </c>
      <c r="C18" s="19"/>
      <c r="D18" s="19"/>
      <c r="E18" s="19"/>
    </row>
    <row r="19" spans="1:5" x14ac:dyDescent="0.25">
      <c r="A19" s="4" t="s">
        <v>61</v>
      </c>
      <c r="B19" s="23">
        <f>MIN(D4:D16)</f>
        <v>6.125</v>
      </c>
      <c r="C19" s="19"/>
      <c r="D19" s="19"/>
      <c r="E19" s="19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 (2)</vt:lpstr>
      <vt:lpstr>Planilha 2</vt:lpstr>
      <vt:lpstr>Planilha 3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2026-03-25T18:38:31Z</dcterms:created>
  <dcterms:modified xsi:type="dcterms:W3CDTF">2026-03-25T19:30:54Z</dcterms:modified>
</cp:coreProperties>
</file>