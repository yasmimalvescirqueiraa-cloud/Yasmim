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EBBEEBFA-F2E8-482A-A058-3F5995FFD121}" xr6:coauthVersionLast="47" xr6:coauthVersionMax="47" xr10:uidLastSave="{00000000-0000-0000-0000-000000000000}"/>
  <bookViews>
    <workbookView xWindow="14295" yWindow="0" windowWidth="14610" windowHeight="15585" xr2:uid="{677F5FFB-909C-4AE0-A37B-D1E43E7DE9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27" i="1"/>
  <c r="D26" i="1"/>
  <c r="D25" i="1"/>
  <c r="D24" i="1"/>
  <c r="D23" i="1"/>
  <c r="D22" i="1"/>
  <c r="D21" i="1"/>
  <c r="D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<sst xmlns="http://schemas.openxmlformats.org/spreadsheetml/2006/main" count="59" uniqueCount="25">
  <si>
    <t>Filial</t>
  </si>
  <si>
    <t>Mês</t>
  </si>
  <si>
    <t>Produto</t>
  </si>
  <si>
    <t>Vila Mariana</t>
  </si>
  <si>
    <t>Janeiro</t>
  </si>
  <si>
    <t>Mesa para computador</t>
  </si>
  <si>
    <t>Mouse</t>
  </si>
  <si>
    <t>Brooklin</t>
  </si>
  <si>
    <t>Impressora</t>
  </si>
  <si>
    <t>Fevereiro</t>
  </si>
  <si>
    <t>Março</t>
  </si>
  <si>
    <t>RESUMO DO TRIMESTRE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</si>
  <si>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</si>
  <si>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</si>
  <si>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</si>
  <si>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</si>
  <si>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</si>
  <si>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</si>
  <si>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</si>
  <si>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</si>
  <si>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</si>
  <si>
    <t>Quantidade</t>
  </si>
  <si>
    <t>Valor Unitário</t>
  </si>
  <si>
    <t>Valor Total</t>
  </si>
  <si>
    <r>
      <t>T</t>
    </r>
    <r>
      <rPr>
        <b/>
        <sz val="14"/>
        <rFont val="Calibri"/>
        <family val="2"/>
        <scheme val="minor"/>
      </rPr>
      <t>UDO EM INFORMÁTICA - Vendas 1º Trimestre 2015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</si>
</sst>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1" applyNumberFormat="1" applyFont="1" applyBorder="1" applyAlignment="1">
      <alignment horizontal="center"/>
    </xf>
    <xf numFmtId="44" fontId="0" fillId="0" borderId="1" xfId="2" applyFont="1" applyBorder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/>
    <xf numFmtId="44" fontId="0" fillId="0" borderId="1" xfId="2" applyFont="1" applyFill="1" applyBorder="1"/>
    <xf numFmtId="44" fontId="0" fillId="0" borderId="1" xfId="0" applyNumberFormat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BEDA-F7B0-4EAA-9830-29FECE4B5E58}">
  <dimension ref="A1:F27"/>
  <sheetViews>
    <sheetView tabSelected="1" workbookViewId="0">
      <selection activeCell="E27" sqref="E27"/>
    </sheetView>
  </sheetViews>
  <sheetFormatPr defaultRowHeight="15" x14ac:dyDescent="0.25"/>
  <cols>
    <col min="1" max="1" width="15.140625" customWidth="1"/>
    <col min="2" max="2" width="13.5703125" customWidth="1"/>
    <col min="3" max="3" width="23.85546875" customWidth="1"/>
    <col min="4" max="4" width="15.140625" customWidth="1"/>
    <col min="5" max="5" width="12.7109375" customWidth="1"/>
    <col min="6" max="6" width="15.85546875" customWidth="1"/>
  </cols>
  <sheetData>
    <row r="1" spans="1:6" ht="26.25" x14ac:dyDescent="0.4">
      <c r="A1" s="1" t="s">
        <v>24</v>
      </c>
      <c r="B1" s="1"/>
      <c r="C1" s="1"/>
      <c r="D1" s="1"/>
      <c r="E1" s="1"/>
      <c r="F1" s="1"/>
    </row>
    <row r="2" spans="1:6" ht="45" x14ac:dyDescent="0.25">
      <c r="A2" s="2" t="s">
        <v>0</v>
      </c>
      <c r="B2" s="2" t="s">
        <v>1</v>
      </c>
      <c r="C2" s="2" t="s">
        <v>2</v>
      </c>
      <c r="D2" s="3" t="s">
        <v>21</v>
      </c>
      <c r="E2" s="4" t="s">
        <v>22</v>
      </c>
      <c r="F2" s="4" t="s">
        <v>23</v>
      </c>
    </row>
    <row r="3" spans="1:6" x14ac:dyDescent="0.25">
      <c r="A3" s="5" t="s">
        <v>3</v>
      </c>
      <c r="B3" s="5" t="s">
        <v>4</v>
      </c>
      <c r="C3" s="5" t="s">
        <v>5</v>
      </c>
      <c r="D3" s="6">
        <v>56</v>
      </c>
      <c r="E3" s="7">
        <v>230</v>
      </c>
      <c r="F3" s="7">
        <f>PRODUCT(D3,E3)</f>
        <v>12880</v>
      </c>
    </row>
    <row r="4" spans="1:6" x14ac:dyDescent="0.25">
      <c r="A4" s="5" t="s">
        <v>3</v>
      </c>
      <c r="B4" s="5" t="s">
        <v>4</v>
      </c>
      <c r="C4" s="5" t="s">
        <v>6</v>
      </c>
      <c r="D4" s="6">
        <v>134</v>
      </c>
      <c r="E4" s="7">
        <v>23.8</v>
      </c>
      <c r="F4" s="7">
        <f t="shared" ref="F4:F16" si="0">PRODUCT(D4,E4)</f>
        <v>3189.2000000000003</v>
      </c>
    </row>
    <row r="5" spans="1:6" x14ac:dyDescent="0.25">
      <c r="A5" s="5" t="s">
        <v>7</v>
      </c>
      <c r="B5" s="5" t="s">
        <v>4</v>
      </c>
      <c r="C5" s="5" t="s">
        <v>5</v>
      </c>
      <c r="D5" s="6">
        <v>23</v>
      </c>
      <c r="E5" s="7">
        <v>247</v>
      </c>
      <c r="F5" s="7">
        <f t="shared" si="0"/>
        <v>5681</v>
      </c>
    </row>
    <row r="6" spans="1:6" x14ac:dyDescent="0.25">
      <c r="A6" s="5" t="s">
        <v>3</v>
      </c>
      <c r="B6" s="5" t="s">
        <v>4</v>
      </c>
      <c r="C6" s="5" t="s">
        <v>8</v>
      </c>
      <c r="D6" s="6">
        <v>12</v>
      </c>
      <c r="E6" s="7">
        <v>299</v>
      </c>
      <c r="F6" s="7">
        <f t="shared" si="0"/>
        <v>3588</v>
      </c>
    </row>
    <row r="7" spans="1:6" x14ac:dyDescent="0.25">
      <c r="A7" s="5" t="s">
        <v>7</v>
      </c>
      <c r="B7" s="5" t="s">
        <v>4</v>
      </c>
      <c r="C7" s="5" t="s">
        <v>8</v>
      </c>
      <c r="D7" s="6">
        <v>45</v>
      </c>
      <c r="E7" s="7">
        <v>250</v>
      </c>
      <c r="F7" s="7">
        <f t="shared" si="0"/>
        <v>11250</v>
      </c>
    </row>
    <row r="8" spans="1:6" x14ac:dyDescent="0.25">
      <c r="A8" s="5" t="s">
        <v>3</v>
      </c>
      <c r="B8" s="5" t="s">
        <v>9</v>
      </c>
      <c r="C8" s="5" t="s">
        <v>5</v>
      </c>
      <c r="D8" s="6">
        <v>56</v>
      </c>
      <c r="E8" s="7">
        <v>220</v>
      </c>
      <c r="F8" s="7">
        <f t="shared" si="0"/>
        <v>12320</v>
      </c>
    </row>
    <row r="9" spans="1:6" x14ac:dyDescent="0.25">
      <c r="A9" s="5" t="s">
        <v>7</v>
      </c>
      <c r="B9" s="5" t="s">
        <v>9</v>
      </c>
      <c r="C9" s="5" t="s">
        <v>5</v>
      </c>
      <c r="D9" s="6">
        <v>7</v>
      </c>
      <c r="E9" s="7">
        <v>210</v>
      </c>
      <c r="F9" s="7">
        <f t="shared" si="0"/>
        <v>1470</v>
      </c>
    </row>
    <row r="10" spans="1:6" x14ac:dyDescent="0.25">
      <c r="A10" s="5" t="s">
        <v>3</v>
      </c>
      <c r="B10" s="5" t="s">
        <v>9</v>
      </c>
      <c r="C10" s="5" t="s">
        <v>6</v>
      </c>
      <c r="D10" s="6">
        <v>22</v>
      </c>
      <c r="E10" s="7">
        <v>25</v>
      </c>
      <c r="F10" s="7">
        <f t="shared" si="0"/>
        <v>550</v>
      </c>
    </row>
    <row r="11" spans="1:6" x14ac:dyDescent="0.25">
      <c r="A11" s="5" t="s">
        <v>3</v>
      </c>
      <c r="B11" s="5" t="s">
        <v>9</v>
      </c>
      <c r="C11" s="5" t="s">
        <v>8</v>
      </c>
      <c r="D11" s="6">
        <v>14</v>
      </c>
      <c r="E11" s="7">
        <v>250</v>
      </c>
      <c r="F11" s="7">
        <f t="shared" si="0"/>
        <v>3500</v>
      </c>
    </row>
    <row r="12" spans="1:6" x14ac:dyDescent="0.25">
      <c r="A12" s="5" t="s">
        <v>7</v>
      </c>
      <c r="B12" s="5" t="s">
        <v>9</v>
      </c>
      <c r="C12" s="5" t="s">
        <v>6</v>
      </c>
      <c r="D12" s="6">
        <v>3</v>
      </c>
      <c r="E12" s="7">
        <v>20</v>
      </c>
      <c r="F12" s="7">
        <f t="shared" si="0"/>
        <v>60</v>
      </c>
    </row>
    <row r="13" spans="1:6" x14ac:dyDescent="0.25">
      <c r="A13" s="5" t="s">
        <v>7</v>
      </c>
      <c r="B13" s="5" t="s">
        <v>10</v>
      </c>
      <c r="C13" s="5" t="s">
        <v>5</v>
      </c>
      <c r="D13" s="6">
        <v>21</v>
      </c>
      <c r="E13" s="7">
        <v>220</v>
      </c>
      <c r="F13" s="7">
        <f t="shared" si="0"/>
        <v>4620</v>
      </c>
    </row>
    <row r="14" spans="1:6" x14ac:dyDescent="0.25">
      <c r="A14" s="5" t="s">
        <v>3</v>
      </c>
      <c r="B14" s="5" t="s">
        <v>10</v>
      </c>
      <c r="C14" s="5" t="s">
        <v>5</v>
      </c>
      <c r="D14" s="6">
        <v>18</v>
      </c>
      <c r="E14" s="7">
        <v>230</v>
      </c>
      <c r="F14" s="7">
        <f t="shared" si="0"/>
        <v>4140</v>
      </c>
    </row>
    <row r="15" spans="1:6" x14ac:dyDescent="0.25">
      <c r="A15" s="5" t="s">
        <v>3</v>
      </c>
      <c r="B15" s="5" t="s">
        <v>10</v>
      </c>
      <c r="C15" s="5" t="s">
        <v>6</v>
      </c>
      <c r="D15" s="6">
        <v>33</v>
      </c>
      <c r="E15" s="7">
        <v>20</v>
      </c>
      <c r="F15" s="7">
        <f t="shared" si="0"/>
        <v>660</v>
      </c>
    </row>
    <row r="16" spans="1:6" x14ac:dyDescent="0.25">
      <c r="A16" s="5" t="s">
        <v>7</v>
      </c>
      <c r="B16" s="5" t="s">
        <v>10</v>
      </c>
      <c r="C16" s="5" t="s">
        <v>8</v>
      </c>
      <c r="D16" s="6">
        <v>22</v>
      </c>
      <c r="E16" s="7">
        <v>299</v>
      </c>
      <c r="F16" s="7">
        <f t="shared" si="0"/>
        <v>6578</v>
      </c>
    </row>
    <row r="18" spans="1:4" ht="21" x14ac:dyDescent="0.35">
      <c r="A18" s="8" t="s">
        <v>11</v>
      </c>
      <c r="B18" s="8"/>
      <c r="C18" s="8"/>
      <c r="D18" s="8"/>
    </row>
    <row r="19" spans="1:4" x14ac:dyDescent="0.25">
      <c r="A19" s="9" t="s">
        <v>12</v>
      </c>
      <c r="B19" s="9"/>
      <c r="C19" s="9"/>
      <c r="D19" s="10">
        <f>SUM(D3:D16)</f>
        <v>466</v>
      </c>
    </row>
    <row r="20" spans="1:4" x14ac:dyDescent="0.25">
      <c r="A20" s="11" t="s">
        <v>13</v>
      </c>
      <c r="B20" s="11"/>
      <c r="C20" s="11"/>
      <c r="D20" s="12">
        <f>SUMPRODUCT(D3:D16,E3:E16)</f>
        <v>70486.2</v>
      </c>
    </row>
    <row r="21" spans="1:4" x14ac:dyDescent="0.25">
      <c r="A21" s="11" t="s">
        <v>14</v>
      </c>
      <c r="B21" s="11"/>
      <c r="C21" s="11"/>
      <c r="D21" s="13">
        <f>SUMIF(A3:A16,"vila mariana",F3:F16)</f>
        <v>40827.199999999997</v>
      </c>
    </row>
    <row r="22" spans="1:4" x14ac:dyDescent="0.25">
      <c r="A22" s="11" t="s">
        <v>15</v>
      </c>
      <c r="B22" s="11"/>
      <c r="C22" s="11"/>
      <c r="D22" s="13">
        <f>SUMIF(A3:A16,"brooklin",F3:F16)</f>
        <v>29659</v>
      </c>
    </row>
    <row r="23" spans="1:4" x14ac:dyDescent="0.25">
      <c r="A23" s="11" t="s">
        <v>16</v>
      </c>
      <c r="B23" s="11"/>
      <c r="C23" s="11"/>
      <c r="D23" s="13">
        <f>SUMIF(B3:B16,"janeiro",F3:F16)</f>
        <v>36588.199999999997</v>
      </c>
    </row>
    <row r="24" spans="1:4" x14ac:dyDescent="0.25">
      <c r="A24" s="11" t="s">
        <v>17</v>
      </c>
      <c r="B24" s="11"/>
      <c r="C24" s="11"/>
      <c r="D24" s="13">
        <f>SUMIF(B3:B16,"fevereiro",F3:F16)</f>
        <v>17900</v>
      </c>
    </row>
    <row r="25" spans="1:4" x14ac:dyDescent="0.25">
      <c r="A25" s="11" t="s">
        <v>18</v>
      </c>
      <c r="B25" s="11"/>
      <c r="C25" s="11"/>
      <c r="D25" s="13">
        <f>SUMIF(B3:B16,"março",F3:F16)</f>
        <v>15998</v>
      </c>
    </row>
    <row r="26" spans="1:4" x14ac:dyDescent="0.25">
      <c r="A26" s="11" t="s">
        <v>19</v>
      </c>
      <c r="B26" s="11"/>
      <c r="C26" s="11"/>
      <c r="D26" s="12">
        <f>SUMIFS(F3:F16,A3:A16,"vila mariana",B3:B16,"Fevereiro")</f>
        <v>16370</v>
      </c>
    </row>
    <row r="27" spans="1:4" x14ac:dyDescent="0.25">
      <c r="A27" s="11" t="s">
        <v>20</v>
      </c>
      <c r="B27" s="11"/>
      <c r="C27" s="11"/>
      <c r="D27" s="12">
        <f>SUMIFS(F3:F16,A3:A16,"brooklin",B3:B16,"janeiro")</f>
        <v>16931</v>
      </c>
    </row>
  </sheetData>
  <mergeCells count="11">
    <mergeCell ref="A23:C23"/>
    <mergeCell ref="A24:C24"/>
    <mergeCell ref="A25:C25"/>
    <mergeCell ref="A26:C26"/>
    <mergeCell ref="A27:C27"/>
    <mergeCell ref="A1:F1"/>
    <mergeCell ref="A18:D18"/>
    <mergeCell ref="A19:C19"/>
    <mergeCell ref="A20:C20"/>
    <mergeCell ref="A21:C21"/>
    <mergeCell ref="A22:C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2026-03-31T18:44:07Z</dcterms:created>
  <dcterms:modified xsi:type="dcterms:W3CDTF">2026-03-31T19:10:36Z</dcterms:modified>
</cp:coreProperties>
</file>