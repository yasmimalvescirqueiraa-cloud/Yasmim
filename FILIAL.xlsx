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69B72E75-582F-4578-9634-446383A9B0A5}" xr6:coauthVersionLast="47" xr6:coauthVersionMax="47" xr10:uidLastSave="{00000000-0000-0000-0000-000000000000}"/>
  <bookViews>
    <workbookView xWindow="7965" yWindow="0" windowWidth="12690" windowHeight="15585" xr2:uid="{602E119F-FF7E-4DEB-B19A-99CC612629D2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4" i="1"/>
</calcChain>
</file>

<file path=xl/sharedStrings.xml><?xml version="1.0" encoding="utf-8"?>
<sst xmlns="http://schemas.openxmlformats.org/spreadsheetml/2006/main" count="60" uniqueCount="42">
  <si>
    <t>NOME DO ALUNO</t>
  </si>
  <si>
    <t>FILIAL</t>
  </si>
  <si>
    <t>CÓDIGO DO CURSO</t>
  </si>
  <si>
    <t>NOME DO CURSO</t>
  </si>
  <si>
    <t>VALOR MENSALIDADE</t>
  </si>
  <si>
    <t>Ana Maria Bernardes</t>
  </si>
  <si>
    <t xml:space="preserve">Beatriz </t>
  </si>
  <si>
    <t>Diógenes Duarte Lima</t>
  </si>
  <si>
    <t>Fernando Coriolano</t>
  </si>
  <si>
    <t>Maria Carolina Braga</t>
  </si>
  <si>
    <t>Felipe dos Santos</t>
  </si>
  <si>
    <t>Vnderlei Higino</t>
  </si>
  <si>
    <t>Rodrigo Maia</t>
  </si>
  <si>
    <t>Alexandre Garcia Gomes</t>
  </si>
  <si>
    <t>Jussara Medeiros</t>
  </si>
  <si>
    <t>Rogerio Dias</t>
  </si>
  <si>
    <t>Jaciara Yonh</t>
  </si>
  <si>
    <t>Melina Mercurio</t>
  </si>
  <si>
    <t>Sofia Barros Maranhão</t>
  </si>
  <si>
    <t>Vanessa Silva e Souza</t>
  </si>
  <si>
    <t>Luis André Ferreira</t>
  </si>
  <si>
    <t>Mácia Giuliani</t>
  </si>
  <si>
    <t>Jade Viniliti</t>
  </si>
  <si>
    <t>Georgina Nythe</t>
  </si>
  <si>
    <t>Barbara Hioli</t>
  </si>
  <si>
    <t>João Paulo Moreira</t>
  </si>
  <si>
    <t>Vila Mariana</t>
  </si>
  <si>
    <t>Aclimação</t>
  </si>
  <si>
    <t>Itaim Bibi</t>
  </si>
  <si>
    <t>Código</t>
  </si>
  <si>
    <t>Curso</t>
  </si>
  <si>
    <t>Mensalidade</t>
  </si>
  <si>
    <t>Internet</t>
  </si>
  <si>
    <t>Wod - básico</t>
  </si>
  <si>
    <t>Word - Avançado</t>
  </si>
  <si>
    <t>Excel - Basico</t>
  </si>
  <si>
    <t>Excel - Avançado</t>
  </si>
  <si>
    <t>Power Point - Básico</t>
  </si>
  <si>
    <t>Power point - Avançado</t>
  </si>
  <si>
    <t>Access</t>
  </si>
  <si>
    <t xml:space="preserve"> </t>
  </si>
  <si>
    <t>Access com VBA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</si>
</sst>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NumberFormat="1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3A29-5227-4D97-85E1-02F50E8286C9}">
  <dimension ref="A3:E24"/>
  <sheetViews>
    <sheetView tabSelected="1" workbookViewId="0">
      <selection activeCell="B1" sqref="B1"/>
    </sheetView>
  </sheetViews>
  <sheetFormatPr defaultRowHeight="15" x14ac:dyDescent="0.25"/>
  <cols>
    <col min="1" max="1" width="22.28515625" customWidth="1"/>
    <col min="2" max="2" width="14.28515625" customWidth="1"/>
    <col min="3" max="3" width="12.42578125" customWidth="1"/>
    <col min="4" max="4" width="22.42578125" bestFit="1" customWidth="1"/>
    <col min="5" max="5" width="14.85546875" customWidth="1"/>
  </cols>
  <sheetData>
    <row r="3" spans="1:5" ht="32.25" customHeight="1" x14ac:dyDescent="0.25">
      <c r="A3" s="5" t="s">
        <v>0</v>
      </c>
      <c r="B3" s="5" t="s">
        <v>1</v>
      </c>
      <c r="C3" s="6" t="s">
        <v>2</v>
      </c>
      <c r="D3" s="5" t="s">
        <v>3</v>
      </c>
      <c r="E3" s="6" t="s">
        <v>4</v>
      </c>
    </row>
    <row r="4" spans="1:5" x14ac:dyDescent="0.25">
      <c r="A4" s="7" t="s">
        <v>5</v>
      </c>
      <c r="B4" s="2" t="s">
        <v>26</v>
      </c>
      <c r="C4" s="2">
        <v>2</v>
      </c>
      <c r="D4" s="2" t="str">
        <f>VLOOKUP(C4,Planilha2!A$1:C$10,2,FALSE)</f>
        <v>Wod - básico</v>
      </c>
      <c r="E4" s="4">
        <f>VLOOKUP(C4,Planilha2!A$1:C$10,3,TRUE)</f>
        <v>180</v>
      </c>
    </row>
    <row r="5" spans="1:5" x14ac:dyDescent="0.25">
      <c r="A5" s="7" t="s">
        <v>6</v>
      </c>
      <c r="B5" s="2" t="s">
        <v>27</v>
      </c>
      <c r="C5" s="2">
        <v>3</v>
      </c>
      <c r="D5" s="2" t="str">
        <f>VLOOKUP(C5,Planilha2!A$1:C$10,2,FALSE)</f>
        <v>Word - Avançado</v>
      </c>
      <c r="E5" s="4">
        <f>VLOOKUP(C5,Planilha2!A$1:C$10,3,TRUE)</f>
        <v>270</v>
      </c>
    </row>
    <row r="6" spans="1:5" x14ac:dyDescent="0.25">
      <c r="A6" s="7" t="s">
        <v>7</v>
      </c>
      <c r="B6" s="2" t="s">
        <v>26</v>
      </c>
      <c r="C6" s="2">
        <v>2</v>
      </c>
      <c r="D6" s="2" t="str">
        <f>VLOOKUP(C6,Planilha2!A$1:C$10,2,FALSE)</f>
        <v>Wod - básico</v>
      </c>
      <c r="E6" s="4">
        <f>VLOOKUP(C6,Planilha2!A$1:C$10,3,TRUE)</f>
        <v>180</v>
      </c>
    </row>
    <row r="7" spans="1:5" x14ac:dyDescent="0.25">
      <c r="A7" s="7" t="s">
        <v>8</v>
      </c>
      <c r="B7" s="2" t="s">
        <v>28</v>
      </c>
      <c r="C7" s="2">
        <v>3</v>
      </c>
      <c r="D7" s="2" t="str">
        <f>VLOOKUP(C7,Planilha2!A$1:C$10,2,FALSE)</f>
        <v>Word - Avançado</v>
      </c>
      <c r="E7" s="4">
        <f>VLOOKUP(C7,Planilha2!A$1:C$10,3,TRUE)</f>
        <v>270</v>
      </c>
    </row>
    <row r="8" spans="1:5" x14ac:dyDescent="0.25">
      <c r="A8" s="7" t="s">
        <v>9</v>
      </c>
      <c r="B8" s="2" t="s">
        <v>28</v>
      </c>
      <c r="C8" s="2">
        <v>1</v>
      </c>
      <c r="D8" s="2" t="str">
        <f>VLOOKUP(C8,Planilha2!A$1:C$10,2,FALSE)</f>
        <v>Internet</v>
      </c>
      <c r="E8" s="4">
        <f>VLOOKUP(C8,Planilha2!A$1:C$10,3,TRUE)</f>
        <v>150</v>
      </c>
    </row>
    <row r="9" spans="1:5" x14ac:dyDescent="0.25">
      <c r="A9" s="7" t="s">
        <v>10</v>
      </c>
      <c r="B9" s="2" t="s">
        <v>27</v>
      </c>
      <c r="C9" s="2">
        <v>7</v>
      </c>
      <c r="D9" s="2" t="str">
        <f>VLOOKUP(C9,Planilha2!A$1:C$10,2,FALSE)</f>
        <v>Power point - Avançado</v>
      </c>
      <c r="E9" s="4">
        <f>VLOOKUP(C9,Planilha2!A$1:C$10,3,TRUE)</f>
        <v>170</v>
      </c>
    </row>
    <row r="10" spans="1:5" x14ac:dyDescent="0.25">
      <c r="A10" s="7" t="s">
        <v>11</v>
      </c>
      <c r="B10" s="2" t="s">
        <v>27</v>
      </c>
      <c r="C10" s="2">
        <v>1</v>
      </c>
      <c r="D10" s="2" t="str">
        <f>VLOOKUP(C10,Planilha2!A$1:C$10,2,FALSE)</f>
        <v>Internet</v>
      </c>
      <c r="E10" s="4">
        <f>VLOOKUP(C10,Planilha2!A$1:C$10,3,TRUE)</f>
        <v>150</v>
      </c>
    </row>
    <row r="11" spans="1:5" x14ac:dyDescent="0.25">
      <c r="A11" s="7" t="s">
        <v>12</v>
      </c>
      <c r="B11" s="2" t="s">
        <v>27</v>
      </c>
      <c r="C11" s="2">
        <v>4</v>
      </c>
      <c r="D11" s="2" t="str">
        <f>VLOOKUP(C11,Planilha2!A$1:C$10,2,FALSE)</f>
        <v>Excel - Basico</v>
      </c>
      <c r="E11" s="4">
        <f>VLOOKUP(C11,Planilha2!A$1:C$10,3,TRUE)</f>
        <v>200</v>
      </c>
    </row>
    <row r="12" spans="1:5" x14ac:dyDescent="0.25">
      <c r="A12" s="7" t="s">
        <v>13</v>
      </c>
      <c r="B12" s="2" t="s">
        <v>26</v>
      </c>
      <c r="C12" s="2">
        <v>6</v>
      </c>
      <c r="D12" s="2" t="str">
        <f>VLOOKUP(C12,Planilha2!A$1:C$10,2,FALSE)</f>
        <v>Power Point - Básico</v>
      </c>
      <c r="E12" s="4">
        <f>VLOOKUP(C12,Planilha2!A$1:C$10,3,TRUE)</f>
        <v>120</v>
      </c>
    </row>
    <row r="13" spans="1:5" x14ac:dyDescent="0.25">
      <c r="A13" s="7" t="s">
        <v>14</v>
      </c>
      <c r="B13" s="2" t="s">
        <v>28</v>
      </c>
      <c r="C13" s="2">
        <v>6</v>
      </c>
      <c r="D13" s="2" t="str">
        <f>VLOOKUP(C13,Planilha2!A$1:C$10,2,FALSE)</f>
        <v>Power Point - Básico</v>
      </c>
      <c r="E13" s="4">
        <f>VLOOKUP(C13,Planilha2!A$1:C$10,3,TRUE)</f>
        <v>120</v>
      </c>
    </row>
    <row r="14" spans="1:5" x14ac:dyDescent="0.25">
      <c r="A14" s="7" t="s">
        <v>15</v>
      </c>
      <c r="B14" s="2" t="s">
        <v>28</v>
      </c>
      <c r="C14" s="2">
        <v>3</v>
      </c>
      <c r="D14" s="2" t="str">
        <f>VLOOKUP(C14,Planilha2!A$1:C$10,2,FALSE)</f>
        <v>Word - Avançado</v>
      </c>
      <c r="E14" s="4">
        <f>VLOOKUP(C14,Planilha2!A$1:C$10,3,TRUE)</f>
        <v>270</v>
      </c>
    </row>
    <row r="15" spans="1:5" x14ac:dyDescent="0.25">
      <c r="A15" s="7" t="s">
        <v>16</v>
      </c>
      <c r="B15" s="2" t="s">
        <v>28</v>
      </c>
      <c r="C15" s="2">
        <v>8</v>
      </c>
      <c r="D15" s="2" t="str">
        <f>VLOOKUP(C15,Planilha2!A$1:C$10,2,FALSE)</f>
        <v>Access</v>
      </c>
      <c r="E15" s="4">
        <f>VLOOKUP(C15,Planilha2!A$1:C$10,3,TRUE)</f>
        <v>270</v>
      </c>
    </row>
    <row r="16" spans="1:5" x14ac:dyDescent="0.25">
      <c r="A16" s="7" t="s">
        <v>17</v>
      </c>
      <c r="B16" s="2" t="s">
        <v>28</v>
      </c>
      <c r="C16" s="2">
        <v>6</v>
      </c>
      <c r="D16" s="2" t="str">
        <f>VLOOKUP(C16,Planilha2!A$1:C$10,2,FALSE)</f>
        <v>Power Point - Básico</v>
      </c>
      <c r="E16" s="4">
        <f>VLOOKUP(C16,Planilha2!A$1:C$10,3,TRUE)</f>
        <v>120</v>
      </c>
    </row>
    <row r="17" spans="1:5" x14ac:dyDescent="0.25">
      <c r="A17" s="7" t="s">
        <v>18</v>
      </c>
      <c r="B17" s="2" t="s">
        <v>27</v>
      </c>
      <c r="C17" s="2">
        <v>2</v>
      </c>
      <c r="D17" s="2" t="str">
        <f>VLOOKUP(C17,Planilha2!A$1:C$10,2,FALSE)</f>
        <v>Wod - básico</v>
      </c>
      <c r="E17" s="4">
        <f>VLOOKUP(C17,Planilha2!A$1:C$10,3,TRUE)</f>
        <v>180</v>
      </c>
    </row>
    <row r="18" spans="1:5" x14ac:dyDescent="0.25">
      <c r="A18" s="7" t="s">
        <v>19</v>
      </c>
      <c r="B18" s="2" t="s">
        <v>27</v>
      </c>
      <c r="C18" s="2">
        <v>3</v>
      </c>
      <c r="D18" s="2" t="str">
        <f>VLOOKUP(C18,Planilha2!A$1:C$10,2,FALSE)</f>
        <v>Word - Avançado</v>
      </c>
      <c r="E18" s="4">
        <f>VLOOKUP(C18,Planilha2!A$1:C$10,3,TRUE)</f>
        <v>270</v>
      </c>
    </row>
    <row r="19" spans="1:5" x14ac:dyDescent="0.25">
      <c r="A19" s="7" t="s">
        <v>20</v>
      </c>
      <c r="B19" s="2" t="s">
        <v>26</v>
      </c>
      <c r="C19" s="2">
        <v>4</v>
      </c>
      <c r="D19" s="2" t="str">
        <f>VLOOKUP(C19,Planilha2!A$1:C$10,2,FALSE)</f>
        <v>Excel - Basico</v>
      </c>
      <c r="E19" s="4">
        <f>VLOOKUP(C19,Planilha2!A$1:C$10,3,TRUE)</f>
        <v>200</v>
      </c>
    </row>
    <row r="20" spans="1:5" x14ac:dyDescent="0.25">
      <c r="A20" s="7" t="s">
        <v>21</v>
      </c>
      <c r="B20" s="2" t="s">
        <v>27</v>
      </c>
      <c r="C20" s="2">
        <v>9</v>
      </c>
      <c r="D20" s="2" t="str">
        <f>VLOOKUP(C20,Planilha2!A$1:C$10,2,FALSE)</f>
        <v>Access com VBA</v>
      </c>
      <c r="E20" s="4">
        <f>VLOOKUP(C20,Planilha2!A$1:C$10,3,TRUE)</f>
        <v>320</v>
      </c>
    </row>
    <row r="21" spans="1:5" x14ac:dyDescent="0.25">
      <c r="A21" s="7" t="s">
        <v>22</v>
      </c>
      <c r="B21" s="2" t="s">
        <v>27</v>
      </c>
      <c r="C21" s="2">
        <v>1</v>
      </c>
      <c r="D21" s="2" t="str">
        <f>VLOOKUP(C21,Planilha2!A$1:C$10,2,FALSE)</f>
        <v>Internet</v>
      </c>
      <c r="E21" s="4">
        <f>VLOOKUP(C21,Planilha2!A$1:C$10,3,TRUE)</f>
        <v>150</v>
      </c>
    </row>
    <row r="22" spans="1:5" x14ac:dyDescent="0.25">
      <c r="A22" s="7" t="s">
        <v>23</v>
      </c>
      <c r="B22" s="2" t="s">
        <v>26</v>
      </c>
      <c r="C22" s="2">
        <v>8</v>
      </c>
      <c r="D22" s="2" t="str">
        <f>VLOOKUP(C22,Planilha2!A$1:C$10,2,FALSE)</f>
        <v>Access</v>
      </c>
      <c r="E22" s="4">
        <f>VLOOKUP(C22,Planilha2!A$1:C$10,3,TRUE)</f>
        <v>270</v>
      </c>
    </row>
    <row r="23" spans="1:5" x14ac:dyDescent="0.25">
      <c r="A23" s="7" t="s">
        <v>24</v>
      </c>
      <c r="B23" s="2" t="s">
        <v>27</v>
      </c>
      <c r="C23" s="2">
        <v>5</v>
      </c>
      <c r="D23" s="2" t="str">
        <f>VLOOKUP(C23,Planilha2!A$1:C$10,2,FALSE)</f>
        <v>Excel - Avançado</v>
      </c>
      <c r="E23" s="4">
        <f>VLOOKUP(C23,Planilha2!A$1:C$10,3,TRUE)</f>
        <v>250</v>
      </c>
    </row>
    <row r="24" spans="1:5" x14ac:dyDescent="0.25">
      <c r="A24" s="7" t="s">
        <v>25</v>
      </c>
      <c r="B24" s="2" t="s">
        <v>27</v>
      </c>
      <c r="C24" s="2">
        <v>7</v>
      </c>
      <c r="D24" s="2" t="str">
        <f>VLOOKUP(C24,Planilha2!A$1:C$10,2,FALSE)</f>
        <v>Power point - Avançado</v>
      </c>
      <c r="E24" s="4">
        <f>VLOOKUP(C24,Planilha2!A$1:C$10,3,TRUE)</f>
        <v>170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1195-5127-41F1-AA5D-BE2DA805D82F}">
  <dimension ref="A1:C11"/>
  <sheetViews>
    <sheetView workbookViewId="0">
      <selection activeCell="B11" sqref="B11"/>
    </sheetView>
  </sheetViews>
  <sheetFormatPr defaultRowHeight="15" x14ac:dyDescent="0.25"/>
  <cols>
    <col min="2" max="2" width="21" customWidth="1"/>
    <col min="3" max="3" width="12.42578125" bestFit="1" customWidth="1"/>
  </cols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s="2">
        <v>1</v>
      </c>
      <c r="B2" s="2" t="s">
        <v>32</v>
      </c>
      <c r="C2" s="3">
        <v>150</v>
      </c>
    </row>
    <row r="3" spans="1:3" x14ac:dyDescent="0.25">
      <c r="A3" s="2">
        <v>2</v>
      </c>
      <c r="B3" s="2" t="s">
        <v>33</v>
      </c>
      <c r="C3" s="4">
        <v>180</v>
      </c>
    </row>
    <row r="4" spans="1:3" x14ac:dyDescent="0.25">
      <c r="A4" s="2">
        <v>3</v>
      </c>
      <c r="B4" s="2" t="s">
        <v>34</v>
      </c>
      <c r="C4" s="4">
        <v>270</v>
      </c>
    </row>
    <row r="5" spans="1:3" x14ac:dyDescent="0.25">
      <c r="A5" s="2">
        <v>4</v>
      </c>
      <c r="B5" s="2" t="s">
        <v>35</v>
      </c>
      <c r="C5" s="4">
        <v>200</v>
      </c>
    </row>
    <row r="6" spans="1:3" x14ac:dyDescent="0.25">
      <c r="A6" s="2">
        <v>5</v>
      </c>
      <c r="B6" s="2" t="s">
        <v>36</v>
      </c>
      <c r="C6" s="4">
        <v>250</v>
      </c>
    </row>
    <row r="7" spans="1:3" x14ac:dyDescent="0.25">
      <c r="A7" s="2">
        <v>6</v>
      </c>
      <c r="B7" s="2" t="s">
        <v>37</v>
      </c>
      <c r="C7" s="4">
        <v>120</v>
      </c>
    </row>
    <row r="8" spans="1:3" x14ac:dyDescent="0.25">
      <c r="A8" s="2">
        <v>7</v>
      </c>
      <c r="B8" s="2" t="s">
        <v>38</v>
      </c>
      <c r="C8" s="4">
        <v>170</v>
      </c>
    </row>
    <row r="9" spans="1:3" x14ac:dyDescent="0.25">
      <c r="A9" s="2">
        <v>8</v>
      </c>
      <c r="B9" s="2" t="s">
        <v>39</v>
      </c>
      <c r="C9" s="4">
        <v>270</v>
      </c>
    </row>
    <row r="10" spans="1:3" x14ac:dyDescent="0.25">
      <c r="A10" s="2">
        <v>9</v>
      </c>
      <c r="B10" s="2" t="s">
        <v>41</v>
      </c>
      <c r="C10" s="4">
        <v>320</v>
      </c>
    </row>
    <row r="11" spans="1:3" x14ac:dyDescent="0.25">
      <c r="B11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2026-03-26T17:17:48Z</dcterms:created>
  <dcterms:modified xsi:type="dcterms:W3CDTF">2026-03-26T17:50:34Z</dcterms:modified>
</cp:coreProperties>
</file>